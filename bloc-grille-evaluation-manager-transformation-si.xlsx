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totalworkplace-my.sharepoint.com/personal/axel_phanor_totalenergies_com/Documents/Documents/CESI/BLOC 4/"/>
    </mc:Choice>
  </mc:AlternateContent>
  <xr:revisionPtr revIDLastSave="7" documentId="13_ncr:1_{84CE63C8-7CD8-4209-A00E-7AC3609C4FC6}" xr6:coauthVersionLast="47" xr6:coauthVersionMax="47" xr10:uidLastSave="{E471FF3B-735E-4D1D-AD5A-5E2E345D1453}"/>
  <bookViews>
    <workbookView xWindow="-120" yWindow="-120" windowWidth="29040" windowHeight="15720" xr2:uid="{00000000-000D-0000-FFFF-FFFF00000000}"/>
  </bookViews>
  <sheets>
    <sheet name="Grille à poin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 l="1"/>
  <c r="D48" i="1"/>
  <c r="H5" i="1" l="1"/>
  <c r="H48" i="1" l="1"/>
  <c r="H13" i="1" s="1"/>
  <c r="H50" i="1" l="1"/>
  <c r="F50" i="1"/>
  <c r="D50" i="1"/>
  <c r="C50" i="1"/>
</calcChain>
</file>

<file path=xl/sharedStrings.xml><?xml version="1.0" encoding="utf-8"?>
<sst xmlns="http://schemas.openxmlformats.org/spreadsheetml/2006/main" count="40" uniqueCount="40">
  <si>
    <t>Nom du module :</t>
  </si>
  <si>
    <t>Promotion :</t>
  </si>
  <si>
    <t>Date :</t>
  </si>
  <si>
    <t>Nom-Prénom</t>
  </si>
  <si>
    <t>Note*</t>
  </si>
  <si>
    <t>*</t>
  </si>
  <si>
    <t>A : Acquis : les objectifs définis sont atteints</t>
  </si>
  <si>
    <t xml:space="preserve">B : Acquis : les objectifs définis sont partiellement atteints - écarts mineurs constatés </t>
  </si>
  <si>
    <t>C : Non acquis : les objectifs définis ne sont pas atteints - écarts majeurs constatés</t>
  </si>
  <si>
    <t>D : Non acquis : les objectifs définis ne sont pas atteints – écarts critiques constatés</t>
  </si>
  <si>
    <t>Prénom - NOM</t>
  </si>
  <si>
    <t xml:space="preserve">Signature </t>
  </si>
  <si>
    <t>Evaluateur 1</t>
  </si>
  <si>
    <t>Evaluateur 2</t>
  </si>
  <si>
    <t>Evaluateur 3</t>
  </si>
  <si>
    <t>Commentaires :</t>
  </si>
  <si>
    <t>NOTATION</t>
  </si>
  <si>
    <t>Thèmes</t>
  </si>
  <si>
    <t>Critères</t>
  </si>
  <si>
    <t>Points à attribuer</t>
  </si>
  <si>
    <t>Points obtenus</t>
  </si>
  <si>
    <t>Commentaires/Argumentations</t>
  </si>
  <si>
    <t>Total :</t>
  </si>
  <si>
    <t>Note (lettre) :</t>
  </si>
  <si>
    <t>Conversion lettre</t>
  </si>
  <si>
    <t>INFMSIAL3V - Validation Manager les équipes et la transformation du SI</t>
  </si>
  <si>
    <t>Modéliser les flux métiers et les ressources techniques du SI</t>
  </si>
  <si>
    <t>Encadrer les équipes internes et/ou externes</t>
  </si>
  <si>
    <t>Conduire le changement induit par les projets de la DSI</t>
  </si>
  <si>
    <t>Qualité de la présentation</t>
  </si>
  <si>
    <t>La présentation de l'entreprise et de son activité est exhaustive et claire. Elle intègre les processus de l'entreprise, les workflows des flux d'information.</t>
  </si>
  <si>
    <t>La présentation du SI existant est claire et représentée graphiquement (topologies réseau, systèmes, données, applications).</t>
  </si>
  <si>
    <t>Au moins 5 axes d'amélioration possibles des flux du SI sont identifiés sur les aspects applicatifs, réseau, stockage, hébergement, accès utilisateurs, etc. Ils répondent aux enjeux de l'entreprise.</t>
  </si>
  <si>
    <t>Les responsabilités et les affectations de l’équipe projet opérationnelle sont clairement exprimées. Les responsabilités sont cohérentes avec les tâches à réaliser dans le projet et vis-à-vis des compétences individuelles</t>
  </si>
  <si>
    <t>Un organigramme de l’équipe projet est présenté avec une affectation pertinente des tâches. Le type de management mis en œuvre est adapté et les outils de suivi servent les objectifs du projet et optimisent le fonctionnement de l'équipe projet.</t>
  </si>
  <si>
    <t>Les fournisseurs et sous-traitants sont identifiés. Un plan de communication utilisant des outils collaboratifs et accessibles est proposé.</t>
  </si>
  <si>
    <t>La méthode choisie et les leviers de motivation et d’engagement trouvés sont cohérents pour faire adhérer au projet, les arguments sont efficaces et convaincants.</t>
  </si>
  <si>
    <t>Les acteurs clés du projet sont listés. Les moyens de communication adaptés aux parties prenantes sont identifiés et pertinents.</t>
  </si>
  <si>
    <t>Le support de présentation est structuré professionnellement. Les schémas et tableaux sont lisibles et commentés. Les informations sont facilement accessibles</t>
  </si>
  <si>
    <t>la prestation orale est fluide et dynamique. Elle prend en compte l'auditoire. Le vocabulaire est précis et adapté. Elle est structurée.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</si>
</sst>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0"/>
      <name val="Calibri"/>
      <family val="2"/>
      <scheme val="minor"/>
    </font>
    <font>
      <b/>
      <sz val="11"/>
      <color theme="1"/>
      <name val="Calibri"/>
      <family val="2"/>
      <scheme val="minor"/>
    </font>
    <font>
      <b/>
      <sz val="9"/>
      <color theme="1"/>
      <name val="Calibri"/>
      <family val="2"/>
      <scheme val="minor"/>
    </font>
    <font>
      <sz val="10"/>
      <color theme="1"/>
      <name val="Calibri"/>
      <family val="2"/>
      <scheme val="minor"/>
    </font>
    <font>
      <sz val="9"/>
      <color theme="1"/>
      <name val="Calibri"/>
      <family val="2"/>
      <scheme val="minor"/>
    </font>
    <font>
      <sz val="11"/>
      <color theme="0"/>
      <name val="Calibri"/>
      <family val="2"/>
      <scheme val="minor"/>
    </font>
    <font>
      <b/>
      <sz val="11"/>
      <name val="Calibri"/>
      <family val="2"/>
      <scheme val="minor"/>
    </font>
    <font>
      <b/>
      <sz val="8"/>
      <color theme="1"/>
      <name val="Calibri"/>
      <family val="2"/>
      <scheme val="minor"/>
    </font>
    <font>
      <sz val="8"/>
      <color theme="1"/>
      <name val="Calibri"/>
      <family val="2"/>
      <scheme val="minor"/>
    </font>
    <font>
      <b/>
      <sz val="18"/>
      <color theme="1"/>
      <name val="Calibri"/>
      <family val="2"/>
      <scheme val="minor"/>
    </font>
    <font>
      <b/>
      <sz val="14"/>
      <color theme="1"/>
      <name val="Calibri"/>
      <family val="2"/>
      <scheme val="minor"/>
    </font>
    <font>
      <b/>
      <sz val="18"/>
      <color theme="0"/>
      <name val="Calibri"/>
      <family val="2"/>
      <scheme val="minor"/>
    </font>
    <font>
      <sz val="11"/>
      <color theme="1"/>
      <name val="Calibri"/>
      <family val="2"/>
    </font>
    <font>
      <sz val="4"/>
      <color theme="0"/>
      <name val="Calibri"/>
      <family val="2"/>
      <scheme val="minor"/>
    </font>
    <font>
      <b/>
      <sz val="10"/>
      <color theme="1"/>
      <name val="Calibri"/>
      <family val="2"/>
      <scheme val="minor"/>
    </font>
    <font>
      <b/>
      <sz val="10"/>
      <name val="Calibri"/>
      <family val="2"/>
      <scheme val="minor"/>
    </font>
    <font>
      <b/>
      <sz val="12"/>
      <color theme="1"/>
      <name val="Calibri"/>
      <family val="2"/>
      <scheme val="minor"/>
    </font>
  </fonts>
  <fills count="6">
    <fill>
      <patternFill patternType="none"/>
    </fill>
    <fill>
      <patternFill patternType="gray125"/>
    </fill>
    <fill>
      <patternFill patternType="solid">
        <fgColor theme="7" tint="0.79998168889431442"/>
        <bgColor indexed="64"/>
      </patternFill>
    </fill>
    <fill>
      <patternFill patternType="solid">
        <fgColor theme="1"/>
        <bgColor indexed="64"/>
      </patternFill>
    </fill>
    <fill>
      <patternFill patternType="solid">
        <fgColor theme="9" tint="0.79998168889431442"/>
        <bgColor indexed="64"/>
      </patternFill>
    </fill>
    <fill>
      <patternFill patternType="solid">
        <fgColor theme="0"/>
        <bgColor indexed="64"/>
      </patternFill>
    </fill>
  </fills>
  <borders count="5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rgb="FF000000"/>
      </left>
      <right style="thin">
        <color indexed="64"/>
      </right>
      <top style="medium">
        <color rgb="FF000000"/>
      </top>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thin">
        <color indexed="64"/>
      </right>
      <top/>
      <bottom/>
      <diagonal/>
    </border>
    <border>
      <left/>
      <right style="medium">
        <color rgb="FF000000"/>
      </right>
      <top style="thin">
        <color indexed="64"/>
      </top>
      <bottom style="thin">
        <color indexed="64"/>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indexed="64"/>
      </right>
      <top style="thin">
        <color indexed="64"/>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right/>
      <top style="thin">
        <color indexed="64"/>
      </top>
      <bottom style="medium">
        <color rgb="FF000000"/>
      </bottom>
      <diagonal/>
    </border>
    <border>
      <left/>
      <right style="medium">
        <color rgb="FF000000"/>
      </right>
      <top style="thin">
        <color indexed="64"/>
      </top>
      <bottom style="medium">
        <color rgb="FF000000"/>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14">
    <xf numFmtId="0" fontId="0" fillId="0" borderId="0" xfId="0"/>
    <xf numFmtId="0" fontId="2" fillId="0" borderId="0" xfId="0" applyFont="1"/>
    <xf numFmtId="0" fontId="0" fillId="0" borderId="0" xfId="0" applyAlignment="1">
      <alignment vertical="center"/>
    </xf>
    <xf numFmtId="0" fontId="2" fillId="0" borderId="3" xfId="0" applyFont="1" applyBorder="1" applyAlignment="1">
      <alignment vertical="center"/>
    </xf>
    <xf numFmtId="0" fontId="2" fillId="0" borderId="4" xfId="0" applyFont="1" applyBorder="1" applyAlignment="1">
      <alignment vertical="center"/>
    </xf>
    <xf numFmtId="0" fontId="2" fillId="0" borderId="5" xfId="0" applyFont="1" applyBorder="1" applyAlignment="1">
      <alignment vertical="center"/>
    </xf>
    <xf numFmtId="0" fontId="2" fillId="0" borderId="0" xfId="0" applyFont="1" applyAlignment="1">
      <alignment horizontal="right"/>
    </xf>
    <xf numFmtId="0" fontId="5" fillId="0" borderId="0" xfId="0" applyFont="1"/>
    <xf numFmtId="0" fontId="7" fillId="0" borderId="2" xfId="0" applyFont="1" applyBorder="1" applyAlignment="1">
      <alignment horizontal="center"/>
    </xf>
    <xf numFmtId="0" fontId="1" fillId="3" borderId="2" xfId="0" applyFont="1" applyFill="1" applyBorder="1" applyAlignment="1">
      <alignment horizontal="center"/>
    </xf>
    <xf numFmtId="0" fontId="0" fillId="0" borderId="1" xfId="0" applyBorder="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0" fillId="0" borderId="0" xfId="0" applyAlignment="1">
      <alignment horizontal="center" vertical="center"/>
    </xf>
    <xf numFmtId="0" fontId="5" fillId="0" borderId="0" xfId="0" applyFont="1" applyAlignment="1">
      <alignment horizontal="right"/>
    </xf>
    <xf numFmtId="0" fontId="7" fillId="0" borderId="0" xfId="0" applyFont="1" applyAlignment="1">
      <alignment horizontal="center"/>
    </xf>
    <xf numFmtId="0" fontId="1" fillId="0" borderId="0" xfId="0" applyFont="1" applyAlignment="1">
      <alignment horizontal="center"/>
    </xf>
    <xf numFmtId="0" fontId="9" fillId="0" borderId="0" xfId="0" applyFont="1" applyAlignment="1">
      <alignment horizontal="right"/>
    </xf>
    <xf numFmtId="0" fontId="10" fillId="0" borderId="0" xfId="0" applyFont="1"/>
    <xf numFmtId="0" fontId="10" fillId="0" borderId="0" xfId="0" applyFont="1" applyAlignment="1">
      <alignment horizontal="right"/>
    </xf>
    <xf numFmtId="0" fontId="6" fillId="0" borderId="0" xfId="0" applyFont="1" applyAlignment="1">
      <alignment vertical="center"/>
    </xf>
    <xf numFmtId="0" fontId="3" fillId="0" borderId="26" xfId="0" applyFont="1" applyBorder="1" applyAlignment="1">
      <alignment horizontal="center" vertical="center" wrapText="1"/>
    </xf>
    <xf numFmtId="0" fontId="2" fillId="0" borderId="29" xfId="0" applyFont="1" applyBorder="1" applyAlignment="1">
      <alignment vertical="top"/>
    </xf>
    <xf numFmtId="0" fontId="2" fillId="0" borderId="30" xfId="0" applyFont="1" applyBorder="1" applyAlignment="1">
      <alignment vertical="top"/>
    </xf>
    <xf numFmtId="0" fontId="2" fillId="0" borderId="31" xfId="0" applyFont="1" applyBorder="1" applyAlignment="1">
      <alignment vertical="top"/>
    </xf>
    <xf numFmtId="0" fontId="0" fillId="0" borderId="7" xfId="0" applyBorder="1" applyAlignment="1">
      <alignment horizontal="center" vertical="center"/>
    </xf>
    <xf numFmtId="0" fontId="11" fillId="0" borderId="0" xfId="0" applyFont="1" applyAlignment="1">
      <alignment horizontal="left" vertical="center"/>
    </xf>
    <xf numFmtId="0" fontId="11" fillId="0" borderId="0" xfId="0" applyFont="1" applyAlignment="1">
      <alignment vertical="center"/>
    </xf>
    <xf numFmtId="0" fontId="12" fillId="5" borderId="0" xfId="0" applyFont="1" applyFill="1" applyAlignment="1">
      <alignment horizontal="center" vertical="center"/>
    </xf>
    <xf numFmtId="0" fontId="10" fillId="0" borderId="0" xfId="0" applyFont="1" applyAlignment="1">
      <alignment horizontal="right" vertical="center"/>
    </xf>
    <xf numFmtId="0" fontId="13" fillId="0" borderId="0" xfId="0" applyFont="1" applyAlignment="1">
      <alignment horizontal="left" vertical="center"/>
    </xf>
    <xf numFmtId="0" fontId="2" fillId="0" borderId="0" xfId="0" quotePrefix="1" applyFont="1" applyAlignment="1">
      <alignment horizontal="right" vertical="center"/>
    </xf>
    <xf numFmtId="0" fontId="0" fillId="0" borderId="26" xfId="0" applyBorder="1" applyAlignment="1">
      <alignment horizontal="center" vertical="center"/>
    </xf>
    <xf numFmtId="0" fontId="0" fillId="0" borderId="2" xfId="0" applyBorder="1" applyAlignment="1">
      <alignment horizontal="center"/>
    </xf>
    <xf numFmtId="0" fontId="14" fillId="0" borderId="0" xfId="0" applyFont="1" applyAlignment="1">
      <alignment wrapText="1"/>
    </xf>
    <xf numFmtId="0" fontId="12" fillId="0" borderId="0" xfId="0" applyFont="1"/>
    <xf numFmtId="0" fontId="4" fillId="0" borderId="0" xfId="0" applyFont="1" applyAlignment="1">
      <alignment horizontal="center" vertical="center" wrapText="1"/>
    </xf>
    <xf numFmtId="0" fontId="4" fillId="0" borderId="32" xfId="0" applyFont="1" applyBorder="1" applyAlignment="1">
      <alignment horizontal="center" vertical="center"/>
    </xf>
    <xf numFmtId="0" fontId="2" fillId="0" borderId="0" xfId="0" applyFont="1" applyAlignment="1">
      <alignment horizontal="center" vertical="top"/>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4" fillId="0" borderId="0" xfId="0" applyFont="1" applyAlignment="1">
      <alignment horizontal="center" vertical="center"/>
    </xf>
    <xf numFmtId="0" fontId="4" fillId="0" borderId="0" xfId="0" applyFont="1" applyAlignment="1">
      <alignment vertical="center" wrapText="1"/>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0" fillId="0" borderId="38" xfId="0" applyBorder="1" applyAlignment="1">
      <alignment horizontal="center" vertical="center"/>
    </xf>
    <xf numFmtId="0" fontId="4" fillId="0" borderId="41" xfId="0" applyFont="1" applyBorder="1" applyAlignment="1">
      <alignment horizontal="center" vertical="center"/>
    </xf>
    <xf numFmtId="0" fontId="0" fillId="0" borderId="47" xfId="0" applyBorder="1" applyAlignment="1">
      <alignment horizontal="center" vertical="center"/>
    </xf>
    <xf numFmtId="0" fontId="2" fillId="0" borderId="12" xfId="0" applyFont="1" applyBorder="1" applyAlignment="1">
      <alignment horizontal="center" vertical="center" wrapText="1"/>
    </xf>
    <xf numFmtId="0" fontId="8" fillId="0" borderId="53" xfId="0" applyFont="1" applyBorder="1" applyAlignment="1">
      <alignment horizontal="center" vertical="center" wrapText="1"/>
    </xf>
    <xf numFmtId="0" fontId="16" fillId="0" borderId="45" xfId="0" applyFont="1" applyBorder="1" applyAlignment="1">
      <alignment horizontal="center" vertical="center"/>
    </xf>
    <xf numFmtId="0" fontId="15" fillId="0" borderId="46" xfId="0" applyFont="1" applyBorder="1" applyAlignment="1">
      <alignment horizontal="center" vertical="center"/>
    </xf>
    <xf numFmtId="0" fontId="17" fillId="4" borderId="10" xfId="0" applyFont="1" applyFill="1" applyBorder="1" applyAlignment="1">
      <alignment horizontal="center" vertical="center"/>
    </xf>
    <xf numFmtId="0" fontId="17" fillId="4" borderId="25" xfId="0" applyFont="1" applyFill="1" applyBorder="1" applyAlignment="1">
      <alignment horizontal="center" vertical="center"/>
    </xf>
    <xf numFmtId="0" fontId="17" fillId="4" borderId="11" xfId="0" applyFont="1" applyFill="1" applyBorder="1" applyAlignment="1">
      <alignment horizontal="center" vertical="center"/>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0" borderId="41"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24" xfId="0" applyFont="1" applyBorder="1" applyAlignment="1">
      <alignment horizontal="center" vertical="center"/>
    </xf>
    <xf numFmtId="0" fontId="2" fillId="0" borderId="10" xfId="0" applyFont="1" applyBorder="1" applyAlignment="1">
      <alignment horizontal="center"/>
    </xf>
    <xf numFmtId="0" fontId="2" fillId="0" borderId="25" xfId="0" applyFont="1" applyBorder="1" applyAlignment="1">
      <alignment horizontal="center"/>
    </xf>
    <xf numFmtId="0" fontId="2" fillId="0" borderId="11" xfId="0" applyFont="1" applyBorder="1" applyAlignment="1">
      <alignment horizontal="center"/>
    </xf>
    <xf numFmtId="0" fontId="2" fillId="0" borderId="3"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0" borderId="23" xfId="0" applyFont="1" applyBorder="1" applyAlignment="1">
      <alignment horizontal="center" vertical="center"/>
    </xf>
    <xf numFmtId="0" fontId="2" fillId="0" borderId="28" xfId="0" applyFont="1" applyBorder="1" applyAlignment="1">
      <alignment horizontal="center" vertical="top"/>
    </xf>
    <xf numFmtId="0" fontId="2" fillId="0" borderId="0" xfId="0" applyFont="1" applyAlignment="1">
      <alignment horizontal="center" vertical="top"/>
    </xf>
    <xf numFmtId="0" fontId="2" fillId="0" borderId="32" xfId="0" applyFont="1" applyBorder="1" applyAlignment="1">
      <alignment horizontal="center" vertical="top"/>
    </xf>
    <xf numFmtId="0" fontId="2" fillId="0" borderId="33" xfId="0" applyFont="1" applyBorder="1" applyAlignment="1">
      <alignment horizontal="center" vertical="top"/>
    </xf>
    <xf numFmtId="0" fontId="2" fillId="0" borderId="34" xfId="0" applyFont="1" applyBorder="1" applyAlignment="1">
      <alignment horizontal="center" vertical="top"/>
    </xf>
    <xf numFmtId="0" fontId="2" fillId="0" borderId="35" xfId="0" applyFont="1" applyBorder="1" applyAlignment="1">
      <alignment horizontal="center" vertical="top"/>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2" fillId="4" borderId="10" xfId="0" applyFont="1" applyFill="1" applyBorder="1" applyAlignment="1">
      <alignment horizontal="center" vertical="center"/>
    </xf>
    <xf numFmtId="0" fontId="2" fillId="4" borderId="25" xfId="0" applyFont="1" applyFill="1" applyBorder="1" applyAlignment="1">
      <alignment horizontal="center" vertical="center"/>
    </xf>
    <xf numFmtId="0" fontId="2" fillId="4" borderId="11" xfId="0" applyFont="1" applyFill="1" applyBorder="1" applyAlignment="1">
      <alignment horizontal="center" vertical="center"/>
    </xf>
    <xf numFmtId="0" fontId="2" fillId="0" borderId="53" xfId="0" applyFont="1" applyBorder="1" applyAlignment="1">
      <alignment horizontal="center" vertical="center" wrapText="1"/>
    </xf>
    <xf numFmtId="0" fontId="2" fillId="0" borderId="54" xfId="0" applyFont="1" applyBorder="1" applyAlignment="1">
      <alignment horizontal="center" vertical="center" wrapText="1"/>
    </xf>
    <xf numFmtId="0" fontId="4" fillId="0" borderId="38" xfId="0" applyFont="1" applyBorder="1" applyAlignment="1">
      <alignment horizontal="center" vertical="center"/>
    </xf>
    <xf numFmtId="0" fontId="4" fillId="0" borderId="39" xfId="0" applyFont="1" applyBorder="1" applyAlignment="1">
      <alignment horizontal="center" vertical="center"/>
    </xf>
    <xf numFmtId="0" fontId="4" fillId="0" borderId="16" xfId="0" applyFont="1" applyBorder="1" applyAlignment="1">
      <alignment horizontal="left" vertical="center" wrapText="1"/>
    </xf>
    <xf numFmtId="0" fontId="4" fillId="0" borderId="20" xfId="0" applyFont="1" applyBorder="1" applyAlignment="1">
      <alignment horizontal="left" vertical="center" wrapText="1"/>
    </xf>
    <xf numFmtId="0" fontId="2" fillId="0" borderId="34" xfId="0" applyFont="1" applyBorder="1" applyAlignment="1">
      <alignment horizontal="center"/>
    </xf>
    <xf numFmtId="0" fontId="2" fillId="0" borderId="35" xfId="0" applyFont="1" applyBorder="1" applyAlignment="1">
      <alignment horizontal="center"/>
    </xf>
    <xf numFmtId="0" fontId="15" fillId="0" borderId="37" xfId="0" applyFont="1" applyBorder="1" applyAlignment="1">
      <alignment horizontal="center" vertical="center" wrapText="1"/>
    </xf>
    <xf numFmtId="0" fontId="15" fillId="0" borderId="40" xfId="0" applyFont="1" applyBorder="1" applyAlignment="1">
      <alignment horizontal="center" vertical="center" wrapText="1"/>
    </xf>
    <xf numFmtId="0" fontId="4" fillId="0" borderId="17" xfId="0" applyFont="1" applyBorder="1" applyAlignment="1">
      <alignment horizontal="left" vertical="center" wrapText="1"/>
    </xf>
    <xf numFmtId="0" fontId="4" fillId="0" borderId="38" xfId="0" applyFont="1" applyBorder="1" applyAlignment="1">
      <alignment horizontal="left" vertical="center" wrapText="1"/>
    </xf>
    <xf numFmtId="0" fontId="2" fillId="0" borderId="27"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2" fillId="0" borderId="16" xfId="0" applyFont="1" applyBorder="1" applyAlignment="1">
      <alignment horizontal="center" vertical="center"/>
    </xf>
    <xf numFmtId="0" fontId="2" fillId="0" borderId="18" xfId="0" applyFont="1" applyBorder="1" applyAlignment="1">
      <alignment horizontal="center" vertical="center"/>
    </xf>
    <xf numFmtId="0" fontId="4" fillId="0" borderId="47" xfId="0" applyFont="1" applyBorder="1" applyAlignment="1">
      <alignment horizontal="left" vertical="center" wrapText="1"/>
    </xf>
    <xf numFmtId="0" fontId="2" fillId="0" borderId="10"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51" xfId="0" applyFont="1" applyBorder="1" applyAlignment="1">
      <alignment horizontal="center" vertical="center" wrapText="1"/>
    </xf>
    <xf numFmtId="0" fontId="2" fillId="0" borderId="52" xfId="0" applyFont="1" applyBorder="1" applyAlignment="1">
      <alignment horizontal="center" vertical="center" wrapText="1"/>
    </xf>
    <xf numFmtId="0" fontId="2" fillId="0" borderId="8" xfId="0" applyFont="1" applyBorder="1" applyAlignment="1">
      <alignment horizontal="center" vertical="center" wrapText="1"/>
    </xf>
    <xf numFmtId="0" fontId="4" fillId="0" borderId="48" xfId="0" applyFont="1" applyBorder="1" applyAlignment="1">
      <alignment horizontal="center" vertical="center"/>
    </xf>
    <xf numFmtId="0" fontId="4" fillId="0" borderId="49" xfId="0" applyFont="1" applyBorder="1" applyAlignment="1">
      <alignment horizontal="center" vertical="center"/>
    </xf>
    <xf numFmtId="0" fontId="4" fillId="0" borderId="50" xfId="0" applyFont="1" applyBorder="1" applyAlignment="1">
      <alignment horizontal="center" vertical="center"/>
    </xf>
    <xf numFmtId="0" fontId="4" fillId="0" borderId="1" xfId="0" applyFont="1" applyBorder="1" applyAlignment="1">
      <alignment horizontal="left" vertical="center" wrapText="1"/>
    </xf>
    <xf numFmtId="0" fontId="4" fillId="0" borderId="36" xfId="0" applyFont="1" applyBorder="1" applyAlignment="1">
      <alignment horizontal="left" vertical="center" wrapText="1"/>
    </xf>
    <xf numFmtId="0" fontId="4" fillId="0" borderId="7" xfId="0" applyFont="1" applyBorder="1" applyAlignment="1">
      <alignment horizontal="left" vertical="center" wrapText="1"/>
    </xf>
    <xf numFmtId="0" fontId="15" fillId="0" borderId="42" xfId="0" applyFont="1" applyBorder="1" applyAlignment="1">
      <alignment horizontal="center" vertical="center" wrapText="1"/>
    </xf>
    <xf numFmtId="0" fontId="15" fillId="0" borderId="43" xfId="0" applyFont="1" applyBorder="1" applyAlignment="1">
      <alignment horizontal="center" vertical="center" wrapText="1"/>
    </xf>
    <xf numFmtId="0" fontId="15" fillId="0" borderId="4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H69"/>
  <sheetViews>
    <sheetView showGridLines="0" tabSelected="1" view="pageLayout" topLeftCell="A35" zoomScale="130" zoomScaleNormal="115" zoomScalePageLayoutView="130" workbookViewId="0">
      <selection activeCell="E16" sqref="E16"/>
    </sheetView>
  </sheetViews>
  <sheetFormatPr baseColWidth="10" defaultColWidth="11.42578125" defaultRowHeight="15" x14ac:dyDescent="0.25"/>
  <cols>
    <col min="1" max="1" width="21.5703125" customWidth="1"/>
    <col min="2" max="2" width="11.42578125" customWidth="1"/>
    <col min="3" max="3" width="37.28515625" customWidth="1"/>
    <col min="4" max="5" width="8.7109375" customWidth="1"/>
    <col min="6" max="6" width="9.5703125" customWidth="1"/>
    <col min="7" max="7" width="8.7109375" customWidth="1"/>
    <col min="8" max="8" width="16.7109375" customWidth="1"/>
  </cols>
  <sheetData>
    <row r="4" spans="1:8" s="18" customFormat="1" ht="10.15" customHeight="1" thickBot="1" x14ac:dyDescent="0.4">
      <c r="B4" s="19"/>
      <c r="C4" s="28"/>
      <c r="D4" s="28"/>
      <c r="E4" s="28"/>
      <c r="F4" s="28"/>
      <c r="G4" s="28"/>
      <c r="H4" s="35"/>
    </row>
    <row r="5" spans="1:8" ht="28.15" customHeight="1" thickBot="1" x14ac:dyDescent="0.3">
      <c r="B5" s="29" t="s">
        <v>0</v>
      </c>
      <c r="C5" s="52" t="s">
        <v>25</v>
      </c>
      <c r="D5" s="53"/>
      <c r="E5" s="53"/>
      <c r="F5" s="53"/>
      <c r="G5" s="54"/>
      <c r="H5" s="34" t="e">
        <f>RIGHT(#REF!,(LEN(#REF!)-SEARCH("-",#REF!)-1))</f>
        <v>#REF!</v>
      </c>
    </row>
    <row r="7" spans="1:8" ht="15.75" thickBot="1" x14ac:dyDescent="0.3"/>
    <row r="8" spans="1:8" ht="24" customHeight="1" thickBot="1" x14ac:dyDescent="0.3">
      <c r="A8" s="27" t="s">
        <v>1</v>
      </c>
      <c r="B8" s="76"/>
      <c r="C8" s="77"/>
      <c r="E8" s="26" t="s">
        <v>2</v>
      </c>
      <c r="F8" s="76"/>
      <c r="G8" s="77"/>
    </row>
    <row r="10" spans="1:8" ht="12.6" customHeight="1" x14ac:dyDescent="0.25"/>
    <row r="11" spans="1:8" ht="8.4499999999999993" customHeight="1" thickBot="1" x14ac:dyDescent="0.3"/>
    <row r="12" spans="1:8" ht="24" customHeight="1" thickBot="1" x14ac:dyDescent="0.3">
      <c r="A12" s="2"/>
      <c r="B12" s="93" t="s">
        <v>3</v>
      </c>
      <c r="C12" s="94"/>
      <c r="D12" s="95"/>
      <c r="H12" s="21" t="s">
        <v>4</v>
      </c>
    </row>
    <row r="13" spans="1:8" s="2" customFormat="1" ht="39.6" customHeight="1" thickBot="1" x14ac:dyDescent="0.3">
      <c r="A13" s="11"/>
      <c r="B13" s="58"/>
      <c r="C13" s="59"/>
      <c r="D13" s="60"/>
      <c r="E13"/>
      <c r="F13"/>
      <c r="G13" s="20"/>
      <c r="H13" s="32" t="str">
        <f>H48</f>
        <v/>
      </c>
    </row>
    <row r="14" spans="1:8" s="2" customFormat="1" ht="19.149999999999999" customHeight="1" x14ac:dyDescent="0.25">
      <c r="A14" s="11"/>
      <c r="B14" s="12"/>
      <c r="C14" s="12"/>
      <c r="D14" s="12"/>
      <c r="E14"/>
      <c r="F14"/>
      <c r="G14" s="20"/>
      <c r="H14" s="13"/>
    </row>
    <row r="15" spans="1:8" s="2" customFormat="1" ht="15" customHeight="1" x14ac:dyDescent="0.25">
      <c r="A15" s="31" t="s">
        <v>5</v>
      </c>
      <c r="B15" s="30" t="s">
        <v>6</v>
      </c>
      <c r="D15" s="12"/>
      <c r="E15" s="13"/>
      <c r="F15" s="13"/>
      <c r="G15" s="20"/>
      <c r="H15" s="13"/>
    </row>
    <row r="16" spans="1:8" s="2" customFormat="1" ht="15" customHeight="1" x14ac:dyDescent="0.25">
      <c r="A16" s="11"/>
      <c r="B16" s="30" t="s">
        <v>7</v>
      </c>
      <c r="D16" s="12"/>
      <c r="E16" s="13"/>
      <c r="F16" s="13"/>
      <c r="G16" s="20"/>
      <c r="H16" s="13"/>
    </row>
    <row r="17" spans="1:8" s="2" customFormat="1" ht="15" customHeight="1" x14ac:dyDescent="0.25">
      <c r="A17" s="11"/>
      <c r="B17" s="30" t="s">
        <v>8</v>
      </c>
      <c r="D17" s="12"/>
      <c r="E17" s="13"/>
      <c r="F17" s="13"/>
      <c r="G17" s="20"/>
      <c r="H17" s="13"/>
    </row>
    <row r="18" spans="1:8" s="2" customFormat="1" ht="15" customHeight="1" x14ac:dyDescent="0.25">
      <c r="A18" s="11"/>
      <c r="B18" s="30" t="s">
        <v>9</v>
      </c>
      <c r="D18" s="12"/>
      <c r="E18" s="13"/>
      <c r="F18" s="13"/>
      <c r="G18" s="20"/>
      <c r="H18" s="13"/>
    </row>
    <row r="19" spans="1:8" s="2" customFormat="1" ht="19.149999999999999" customHeight="1" x14ac:dyDescent="0.25">
      <c r="A19" s="11"/>
      <c r="B19" s="12"/>
      <c r="C19" s="12"/>
      <c r="D19" s="12"/>
      <c r="E19" s="13"/>
      <c r="F19" s="13"/>
      <c r="G19" s="20"/>
      <c r="H19" s="13"/>
    </row>
    <row r="20" spans="1:8" x14ac:dyDescent="0.25">
      <c r="A20" s="1"/>
      <c r="B20" s="87" t="s">
        <v>10</v>
      </c>
      <c r="C20" s="87"/>
      <c r="D20" s="88"/>
      <c r="E20" s="61" t="s">
        <v>11</v>
      </c>
      <c r="F20" s="62"/>
      <c r="G20" s="63"/>
    </row>
    <row r="21" spans="1:8" ht="37.15" customHeight="1" x14ac:dyDescent="0.25">
      <c r="A21" s="3" t="s">
        <v>12</v>
      </c>
      <c r="B21" s="65"/>
      <c r="C21" s="65"/>
      <c r="D21" s="96"/>
      <c r="E21" s="64"/>
      <c r="F21" s="65"/>
      <c r="G21" s="66"/>
      <c r="H21" s="11"/>
    </row>
    <row r="22" spans="1:8" ht="37.15" customHeight="1" x14ac:dyDescent="0.25">
      <c r="A22" s="4" t="s">
        <v>13</v>
      </c>
      <c r="B22" s="68"/>
      <c r="C22" s="68"/>
      <c r="D22" s="97"/>
      <c r="E22" s="67"/>
      <c r="F22" s="68"/>
      <c r="G22" s="69"/>
      <c r="H22" s="11"/>
    </row>
    <row r="23" spans="1:8" ht="37.15" customHeight="1" thickBot="1" x14ac:dyDescent="0.3">
      <c r="A23" s="5" t="s">
        <v>14</v>
      </c>
      <c r="B23" s="59"/>
      <c r="C23" s="59"/>
      <c r="D23" s="98"/>
      <c r="E23" s="58"/>
      <c r="F23" s="59"/>
      <c r="G23" s="60"/>
      <c r="H23" s="11"/>
    </row>
    <row r="24" spans="1:8" ht="21" customHeight="1" thickBot="1" x14ac:dyDescent="0.3">
      <c r="A24" s="11"/>
      <c r="B24" s="12"/>
      <c r="C24" s="12"/>
      <c r="D24" s="12"/>
      <c r="E24" s="11"/>
      <c r="F24" s="11"/>
      <c r="G24" s="11"/>
      <c r="H24" s="11"/>
    </row>
    <row r="25" spans="1:8" ht="21" customHeight="1" x14ac:dyDescent="0.25">
      <c r="A25" s="22" t="s">
        <v>15</v>
      </c>
      <c r="B25" s="23"/>
      <c r="C25" s="23"/>
      <c r="D25" s="23"/>
      <c r="E25" s="23"/>
      <c r="F25" s="23"/>
      <c r="G25" s="23"/>
      <c r="H25" s="24"/>
    </row>
    <row r="26" spans="1:8" ht="16.899999999999999" customHeight="1" x14ac:dyDescent="0.25">
      <c r="A26" s="70"/>
      <c r="B26" s="71"/>
      <c r="C26" s="71"/>
      <c r="D26" s="71"/>
      <c r="E26" s="71"/>
      <c r="F26" s="71"/>
      <c r="G26" s="71"/>
      <c r="H26" s="72"/>
    </row>
    <row r="27" spans="1:8" ht="16.899999999999999" customHeight="1" x14ac:dyDescent="0.25">
      <c r="A27" s="70"/>
      <c r="B27" s="71"/>
      <c r="C27" s="71"/>
      <c r="D27" s="71"/>
      <c r="E27" s="71"/>
      <c r="F27" s="71"/>
      <c r="G27" s="71"/>
      <c r="H27" s="72"/>
    </row>
    <row r="28" spans="1:8" ht="16.899999999999999" customHeight="1" x14ac:dyDescent="0.25">
      <c r="A28" s="70"/>
      <c r="B28" s="71"/>
      <c r="C28" s="71"/>
      <c r="D28" s="71"/>
      <c r="E28" s="71"/>
      <c r="F28" s="71"/>
      <c r="G28" s="71"/>
      <c r="H28" s="72"/>
    </row>
    <row r="29" spans="1:8" ht="16.899999999999999" customHeight="1" x14ac:dyDescent="0.25">
      <c r="A29" s="70"/>
      <c r="B29" s="71"/>
      <c r="C29" s="71"/>
      <c r="D29" s="71"/>
      <c r="E29" s="71"/>
      <c r="F29" s="71"/>
      <c r="G29" s="71"/>
      <c r="H29" s="72"/>
    </row>
    <row r="30" spans="1:8" ht="16.899999999999999" customHeight="1" x14ac:dyDescent="0.25">
      <c r="A30" s="70"/>
      <c r="B30" s="71"/>
      <c r="C30" s="71"/>
      <c r="D30" s="71"/>
      <c r="E30" s="71"/>
      <c r="F30" s="71"/>
      <c r="G30" s="71"/>
      <c r="H30" s="72"/>
    </row>
    <row r="31" spans="1:8" ht="16.899999999999999" customHeight="1" thickBot="1" x14ac:dyDescent="0.3">
      <c r="A31" s="73"/>
      <c r="B31" s="74"/>
      <c r="C31" s="74"/>
      <c r="D31" s="74"/>
      <c r="E31" s="74"/>
      <c r="F31" s="74"/>
      <c r="G31" s="74"/>
      <c r="H31" s="75"/>
    </row>
    <row r="32" spans="1:8" ht="16.899999999999999" customHeight="1" x14ac:dyDescent="0.25">
      <c r="A32" s="38"/>
      <c r="B32" s="38"/>
      <c r="C32" s="38"/>
      <c r="D32" s="38"/>
      <c r="E32" s="38"/>
      <c r="F32" s="38"/>
      <c r="G32" s="38"/>
      <c r="H32" s="38"/>
    </row>
    <row r="33" spans="1:8" s="2" customFormat="1" ht="12.6" customHeight="1" thickBot="1" x14ac:dyDescent="0.3">
      <c r="A33" s="11"/>
      <c r="B33" s="12"/>
      <c r="C33" s="12"/>
      <c r="D33" s="12"/>
      <c r="E33" s="13"/>
      <c r="F33" s="13"/>
      <c r="G33" s="13"/>
    </row>
    <row r="34" spans="1:8" ht="15.75" thickBot="1" x14ac:dyDescent="0.3">
      <c r="A34" s="78" t="s">
        <v>16</v>
      </c>
      <c r="B34" s="79"/>
      <c r="C34" s="79"/>
      <c r="D34" s="79"/>
      <c r="E34" s="79"/>
      <c r="F34" s="79"/>
      <c r="G34" s="79"/>
      <c r="H34" s="80"/>
    </row>
    <row r="36" spans="1:8" ht="22.5" x14ac:dyDescent="0.25">
      <c r="A36" s="48" t="s">
        <v>17</v>
      </c>
      <c r="B36" s="102" t="s">
        <v>18</v>
      </c>
      <c r="C36" s="103"/>
      <c r="D36" s="49" t="s">
        <v>19</v>
      </c>
      <c r="E36" s="49" t="s">
        <v>20</v>
      </c>
      <c r="F36" s="81" t="s">
        <v>21</v>
      </c>
      <c r="G36" s="81"/>
      <c r="H36" s="82"/>
    </row>
    <row r="37" spans="1:8" ht="55.9" customHeight="1" x14ac:dyDescent="0.25">
      <c r="A37" s="89" t="s">
        <v>26</v>
      </c>
      <c r="B37" s="92" t="s">
        <v>30</v>
      </c>
      <c r="C37" s="92"/>
      <c r="D37" s="45">
        <v>3</v>
      </c>
      <c r="E37" s="45"/>
      <c r="F37" s="83"/>
      <c r="G37" s="83"/>
      <c r="H37" s="84"/>
    </row>
    <row r="38" spans="1:8" ht="48.6" customHeight="1" x14ac:dyDescent="0.25">
      <c r="A38" s="90"/>
      <c r="B38" s="85" t="s">
        <v>31</v>
      </c>
      <c r="C38" s="86"/>
      <c r="D38" s="10">
        <v>4</v>
      </c>
      <c r="E38" s="10"/>
      <c r="F38" s="55"/>
      <c r="G38" s="56"/>
      <c r="H38" s="57"/>
    </row>
    <row r="39" spans="1:8" ht="68.45" customHeight="1" x14ac:dyDescent="0.25">
      <c r="A39" s="90"/>
      <c r="B39" s="85" t="s">
        <v>32</v>
      </c>
      <c r="C39" s="86"/>
      <c r="D39" s="25">
        <v>2</v>
      </c>
      <c r="E39" s="10"/>
      <c r="F39" s="55"/>
      <c r="G39" s="56"/>
      <c r="H39" s="57"/>
    </row>
    <row r="40" spans="1:8" ht="55.9" customHeight="1" x14ac:dyDescent="0.25">
      <c r="A40" s="111" t="s">
        <v>27</v>
      </c>
      <c r="B40" s="91" t="s">
        <v>33</v>
      </c>
      <c r="C40" s="86"/>
      <c r="D40" s="25">
        <v>1</v>
      </c>
      <c r="E40" s="10"/>
      <c r="F40" s="55"/>
      <c r="G40" s="56"/>
      <c r="H40" s="57"/>
    </row>
    <row r="41" spans="1:8" ht="69.75" customHeight="1" x14ac:dyDescent="0.25">
      <c r="A41" s="112"/>
      <c r="B41" s="109" t="s">
        <v>34</v>
      </c>
      <c r="C41" s="110"/>
      <c r="D41" s="25">
        <v>3</v>
      </c>
      <c r="E41" s="10"/>
      <c r="F41" s="55"/>
      <c r="G41" s="56"/>
      <c r="H41" s="57"/>
    </row>
    <row r="42" spans="1:8" ht="50.25" customHeight="1" x14ac:dyDescent="0.25">
      <c r="A42" s="113"/>
      <c r="B42" s="86" t="s">
        <v>35</v>
      </c>
      <c r="C42" s="108"/>
      <c r="D42" s="10">
        <v>2</v>
      </c>
      <c r="E42" s="10"/>
      <c r="F42" s="55"/>
      <c r="G42" s="56"/>
      <c r="H42" s="57"/>
    </row>
    <row r="43" spans="1:8" ht="42.6" customHeight="1" x14ac:dyDescent="0.25">
      <c r="A43" s="90" t="s">
        <v>28</v>
      </c>
      <c r="B43" s="85" t="s">
        <v>36</v>
      </c>
      <c r="C43" s="86"/>
      <c r="D43" s="10">
        <v>2</v>
      </c>
      <c r="E43" s="10"/>
      <c r="F43" s="10"/>
      <c r="G43" s="44"/>
      <c r="H43" s="46"/>
    </row>
    <row r="44" spans="1:8" ht="54" customHeight="1" x14ac:dyDescent="0.25">
      <c r="A44" s="90"/>
      <c r="B44" s="85" t="s">
        <v>37</v>
      </c>
      <c r="C44" s="86"/>
      <c r="D44" s="10">
        <v>1</v>
      </c>
      <c r="E44" s="10"/>
      <c r="F44" s="43"/>
      <c r="G44" s="44"/>
      <c r="H44" s="46"/>
    </row>
    <row r="45" spans="1:8" ht="50.45" customHeight="1" x14ac:dyDescent="0.25">
      <c r="A45" s="50" t="s">
        <v>29</v>
      </c>
      <c r="B45" s="108" t="s">
        <v>39</v>
      </c>
      <c r="C45" s="108"/>
      <c r="D45" s="10">
        <v>1</v>
      </c>
      <c r="E45" s="10"/>
      <c r="F45" s="55"/>
      <c r="G45" s="56"/>
      <c r="H45" s="57"/>
    </row>
    <row r="46" spans="1:8" ht="45" customHeight="1" x14ac:dyDescent="0.25">
      <c r="A46" s="51"/>
      <c r="B46" s="99" t="s">
        <v>38</v>
      </c>
      <c r="C46" s="99"/>
      <c r="D46" s="47">
        <v>1</v>
      </c>
      <c r="E46" s="47"/>
      <c r="F46" s="105"/>
      <c r="G46" s="106"/>
      <c r="H46" s="107"/>
    </row>
    <row r="47" spans="1:8" x14ac:dyDescent="0.25">
      <c r="A47" s="36"/>
      <c r="B47" s="42"/>
      <c r="C47" s="42"/>
      <c r="D47" s="13"/>
      <c r="E47" s="13"/>
      <c r="F47" s="41"/>
      <c r="G47" s="41"/>
      <c r="H47" s="37"/>
    </row>
    <row r="48" spans="1:8" x14ac:dyDescent="0.25">
      <c r="C48" s="6" t="s">
        <v>22</v>
      </c>
      <c r="D48" s="9">
        <f>SUM(D37:D46)</f>
        <v>20</v>
      </c>
      <c r="E48" s="8" t="str">
        <f>IF(COUNTA(E37:E46)=0,"",SUM(E37:E46))</f>
        <v/>
      </c>
      <c r="F48" s="7"/>
      <c r="G48" s="17" t="s">
        <v>23</v>
      </c>
      <c r="H48" s="33" t="str">
        <f>IF(E48="","",IF(E48&gt;=MROUND(15.99*D48/20,1),"A",IF(E48&gt;=MROUND(12*D48/20,1),"B",IF(E48&gt;=MROUND(8*D48/20,1),"C","D"))))</f>
        <v/>
      </c>
    </row>
    <row r="49" spans="1:8" ht="15.75" thickBot="1" x14ac:dyDescent="0.3"/>
    <row r="50" spans="1:8" ht="30.75" thickBot="1" x14ac:dyDescent="0.3">
      <c r="A50" s="100" t="s">
        <v>24</v>
      </c>
      <c r="B50" s="101"/>
      <c r="C50" s="39" t="str">
        <f>"De "&amp;MROUND(15.99*D48/20,1)&amp;" à "&amp; D48 &amp;""&amp; CHAR(10) &amp; " =  A"</f>
        <v>De 16 à 20
 =  A</v>
      </c>
      <c r="D50" s="104" t="str">
        <f>"De "&amp;MROUND(12*D48/20,1)&amp;" à "&amp; MROUND(15.99*D48/20,1)-0.01 &amp;""&amp;CHAR(10)&amp; " =  B"</f>
        <v>De 12 à 15,99
 =  B</v>
      </c>
      <c r="E50" s="104"/>
      <c r="F50" s="104" t="str">
        <f>"De "&amp;MROUND(8*D48/20,1)&amp;" à "&amp; MROUND(12*D48/20,1)-0.01 &amp;""&amp;CHAR(10)&amp; " =  C"</f>
        <v>De 8 à 11,99
 =  C</v>
      </c>
      <c r="G50" s="104"/>
      <c r="H50" s="40" t="str">
        <f>"De "&amp;0&amp;" à "&amp; MROUND(8*D48/20,1)-0.01 &amp;""&amp;CHAR(10)&amp; " =  D"</f>
        <v>De 0 à 7,99
 =  D</v>
      </c>
    </row>
    <row r="67" spans="3:7" x14ac:dyDescent="0.25">
      <c r="C67" s="6"/>
      <c r="D67" s="16"/>
      <c r="E67" s="15"/>
      <c r="F67" s="7"/>
      <c r="G67" s="14"/>
    </row>
    <row r="68" spans="3:7" x14ac:dyDescent="0.25">
      <c r="C68" s="6"/>
      <c r="D68" s="16"/>
      <c r="E68" s="15"/>
      <c r="F68" s="7"/>
      <c r="G68" s="14"/>
    </row>
    <row r="69" spans="3:7" x14ac:dyDescent="0.25">
      <c r="C69" s="6"/>
      <c r="D69" s="16"/>
      <c r="E69" s="15"/>
      <c r="F69" s="7"/>
      <c r="G69" s="14"/>
    </row>
  </sheetData>
  <mergeCells count="42">
    <mergeCell ref="A50:B50"/>
    <mergeCell ref="B36:C36"/>
    <mergeCell ref="D50:E50"/>
    <mergeCell ref="F50:G50"/>
    <mergeCell ref="F42:H42"/>
    <mergeCell ref="F38:H38"/>
    <mergeCell ref="F39:H39"/>
    <mergeCell ref="F41:H41"/>
    <mergeCell ref="F45:H45"/>
    <mergeCell ref="F46:H46"/>
    <mergeCell ref="B45:C45"/>
    <mergeCell ref="B41:C41"/>
    <mergeCell ref="B42:C42"/>
    <mergeCell ref="A40:A42"/>
    <mergeCell ref="B44:C44"/>
    <mergeCell ref="B12:D12"/>
    <mergeCell ref="B21:D21"/>
    <mergeCell ref="B22:D22"/>
    <mergeCell ref="B23:D23"/>
    <mergeCell ref="B46:C46"/>
    <mergeCell ref="A37:A39"/>
    <mergeCell ref="A43:A44"/>
    <mergeCell ref="B38:C38"/>
    <mergeCell ref="B39:C39"/>
    <mergeCell ref="B40:C40"/>
    <mergeCell ref="B37:C37"/>
    <mergeCell ref="A45:A46"/>
    <mergeCell ref="C5:G5"/>
    <mergeCell ref="F40:H40"/>
    <mergeCell ref="B13:D13"/>
    <mergeCell ref="E20:G20"/>
    <mergeCell ref="E21:G21"/>
    <mergeCell ref="E22:G22"/>
    <mergeCell ref="E23:G23"/>
    <mergeCell ref="A26:H31"/>
    <mergeCell ref="F8:G8"/>
    <mergeCell ref="A34:H34"/>
    <mergeCell ref="F36:H36"/>
    <mergeCell ref="F37:H37"/>
    <mergeCell ref="B43:C43"/>
    <mergeCell ref="B20:D20"/>
    <mergeCell ref="B8:C8"/>
  </mergeCells>
  <pageMargins left="0.39370078740157483" right="0.39370078740157483" top="0.74803149606299213" bottom="0.74803149606299213" header="0.31496062992125984" footer="0.31496062992125984"/>
  <pageSetup paperSize="9" scale="57" orientation="portrait" r:id="rId1"/>
  <headerFooter>
    <oddHeader>&amp;L&amp;G&amp;R&amp;"-,Gras"&amp;14
Grille d'évaluation
&amp;12Bloc de compétences</oddHeader>
    <oddFooter>&amp;L&amp;F&amp;R&amp;P/&amp;N</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45DD0C4F3DA1E4CAB4339F0B138BB53" ma:contentTypeVersion="12" ma:contentTypeDescription="Crée un document." ma:contentTypeScope="" ma:versionID="70ee7f8a02aa0f61552346a9f09967b3">
  <xsd:schema xmlns:xsd="http://www.w3.org/2001/XMLSchema" xmlns:xs="http://www.w3.org/2001/XMLSchema" xmlns:p="http://schemas.microsoft.com/office/2006/metadata/properties" xmlns:ns2="15f7b856-3a9e-47ab-b52e-d8a36fea2622" xmlns:ns3="ea418fef-c7a7-479f-8a34-f0cdebb3a91a" targetNamespace="http://schemas.microsoft.com/office/2006/metadata/properties" ma:root="true" ma:fieldsID="751a2787fd60f0f76ed5dbd6dc305875" ns2:_="" ns3:_="">
    <xsd:import namespace="15f7b856-3a9e-47ab-b52e-d8a36fea2622"/>
    <xsd:import namespace="ea418fef-c7a7-479f-8a34-f0cdebb3a91a"/>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SearchProperties" minOccurs="0"/>
                <xsd:element ref="ns2:MediaServiceDateTaken"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f7b856-3a9e-47ab-b52e-d8a36fea26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Balises d’images" ma:readOnly="false" ma:fieldId="{5cf76f15-5ced-4ddc-b409-7134ff3c332f}" ma:taxonomyMulti="true" ma:sspId="aa141cfe-7933-482d-bbb8-97c86f16e511" ma:termSetId="09814cd3-568e-fe90-9814-8d621ff8fb84" ma:anchorId="fba54fb3-c3e1-fe81-a776-ca4b69148c4d" ma:open="true" ma:isKeyword="false">
      <xsd:complexType>
        <xsd:sequence>
          <xsd:element ref="pc:Terms" minOccurs="0" maxOccurs="1"/>
        </xsd:sequence>
      </xsd:complex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a418fef-c7a7-479f-8a34-f0cdebb3a91a"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356915d7-a6a5-43f0-a297-4a96acdb05de}" ma:internalName="TaxCatchAll" ma:showField="CatchAllData" ma:web="ea418fef-c7a7-479f-8a34-f0cdebb3a9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E7D40B1-3370-4404-82DC-D6CBF28807A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f7b856-3a9e-47ab-b52e-d8a36fea2622"/>
    <ds:schemaRef ds:uri="ea418fef-c7a7-479f-8a34-f0cdebb3a9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9FA3659-DA5E-4969-A43A-281D9470312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Grille à points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FACON Cédric</dc:creator>
  <cp:keywords/>
  <dc:description/>
  <cp:lastModifiedBy>Axel PHANOR</cp:lastModifiedBy>
  <cp:revision/>
  <dcterms:created xsi:type="dcterms:W3CDTF">2020-02-01T09:20:16Z</dcterms:created>
  <dcterms:modified xsi:type="dcterms:W3CDTF">2026-04-23T09:43:05Z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0x010100045DD0C4F3DA1E4CAB4339F0B138BB53</vt:lpwstr>
  </property>
  <property fmtid="{D5CDD505-2E9C-101B-9397-08002B2CF9AE}" pid="3" name="Order">
    <vt:r8>77500</vt:r8>
  </property>
  <property fmtid="{D5CDD505-2E9C-101B-9397-08002B2CF9AE}" pid="4" name="xd_Signature">
    <vt:bool>false</vt:bool>
  </property>
  <property fmtid="{D5CDD505-2E9C-101B-9397-08002B2CF9AE}" pid="5" name="xd_ProgID">
    <vt:lpwstr/>
  </property>
  <property fmtid="{D5CDD505-2E9C-101B-9397-08002B2CF9AE}" pid="6" name="TriggerFlowInfo">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MediaServiceImageTags">
    <vt:lpwstr/>
  </property>
  <property fmtid="{D5CDD505-2E9C-101B-9397-08002B2CF9AE}" pid="11" name="lcf76f155ced4ddcb4097134ff3c332f">
    <vt:lpwstr/>
  </property>
  <property fmtid="{D5CDD505-2E9C-101B-9397-08002B2CF9AE}" pid="12" name="TaxCatchAll">
    <vt:lpwstr/>
  </property>
</Properties>
</file>