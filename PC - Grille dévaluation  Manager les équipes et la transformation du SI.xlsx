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cesifr-my.sharepoint.com/personal/asbriglio_cesi_fr/Documents/CESI/national/MAALSI/docs_officiels/2024/evals/bloc4/consignes_PC/"/>
    </mc:Choice>
  </mc:AlternateContent>
  <xr:revisionPtr revIDLastSave="40" documentId="11_D1768B45A0170951601C0730C3808949F866E7CD" xr6:coauthVersionLast="47" xr6:coauthVersionMax="47" xr10:uidLastSave="{EEA49695-7575-4197-B075-3D7A84CCBC74}"/>
  <bookViews>
    <workbookView xWindow="-108" yWindow="-108" windowWidth="23256" windowHeight="12456" xr2:uid="{00000000-000D-0000-FFFF-FFFF00000000}"/>
  </bookViews>
  <sheets>
    <sheet name="Grille à poin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8" i="1" l="1"/>
  <c r="H4" i="1" l="1"/>
  <c r="H6" i="1" l="1"/>
  <c r="E19" i="1"/>
  <c r="E18" i="1"/>
  <c r="E17" i="1"/>
  <c r="E16" i="1"/>
  <c r="E15" i="1"/>
  <c r="E14" i="1"/>
  <c r="B132" i="1" l="1"/>
  <c r="B123" i="1"/>
  <c r="B114" i="1"/>
  <c r="B101" i="1"/>
  <c r="E139" i="1"/>
  <c r="D139" i="1"/>
  <c r="E130" i="1"/>
  <c r="D130" i="1"/>
  <c r="E121" i="1"/>
  <c r="D121" i="1"/>
  <c r="D111" i="1" s="1"/>
  <c r="B92" i="1"/>
  <c r="B83" i="1"/>
  <c r="E108" i="1"/>
  <c r="D108" i="1"/>
  <c r="E99" i="1"/>
  <c r="D99" i="1"/>
  <c r="E90" i="1"/>
  <c r="D90" i="1"/>
  <c r="E58" i="1"/>
  <c r="H58" i="1" s="1"/>
  <c r="H80" i="1" l="1"/>
  <c r="D80" i="1"/>
  <c r="C80" i="1"/>
  <c r="F80" i="1"/>
  <c r="H90" i="1"/>
  <c r="F14" i="1" s="1"/>
  <c r="H14" i="1" s="1"/>
  <c r="H108" i="1"/>
  <c r="F16" i="1" s="1"/>
  <c r="H16" i="1" s="1"/>
  <c r="H121" i="1"/>
  <c r="F17" i="1" s="1"/>
  <c r="H99" i="1"/>
  <c r="F15" i="1" s="1"/>
  <c r="H130" i="1"/>
  <c r="F18" i="1" s="1"/>
  <c r="H139" i="1"/>
  <c r="F19" i="1" s="1"/>
  <c r="H19" i="1" s="1"/>
  <c r="H111" i="1"/>
  <c r="C111" i="1"/>
  <c r="F111" i="1"/>
  <c r="G19" i="1" l="1"/>
  <c r="H17" i="1"/>
  <c r="G17" i="1"/>
  <c r="H18" i="1"/>
  <c r="G18" i="1"/>
  <c r="H15" i="1"/>
  <c r="G15" i="1"/>
  <c r="C60" i="1"/>
  <c r="D60" i="1"/>
  <c r="G16" i="1"/>
  <c r="G14" i="1"/>
  <c r="H60" i="1"/>
  <c r="F60" i="1"/>
</calcChain>
</file>

<file path=xl/sharedStrings.xml><?xml version="1.0" encoding="utf-8"?>
<sst xmlns="http://schemas.openxmlformats.org/spreadsheetml/2006/main" count="148" uniqueCount="63">
  <si>
    <t>Référence bloc de compétences :</t>
  </si>
  <si>
    <t>Nom bloc de compétences :</t>
  </si>
  <si>
    <t>Veuillez ne pas toucher aux formules de calculs présentes dans la grille</t>
  </si>
  <si>
    <t>Promotion :</t>
  </si>
  <si>
    <t>Date :</t>
  </si>
  <si>
    <t>Coef</t>
  </si>
  <si>
    <t>Nom-Prénom</t>
  </si>
  <si>
    <t>Note collective</t>
  </si>
  <si>
    <t>Note individuelle</t>
  </si>
  <si>
    <t>Note* finale</t>
  </si>
  <si>
    <t>Candidat 1</t>
  </si>
  <si>
    <t>Candidat 2</t>
  </si>
  <si>
    <t>Candidat 3</t>
  </si>
  <si>
    <t>Candidat 4</t>
  </si>
  <si>
    <t>Candidat 5</t>
  </si>
  <si>
    <t>Candidat 6</t>
  </si>
  <si>
    <t>*</t>
  </si>
  <si>
    <t>A : Acquis : les objectifs définis sont atteints</t>
  </si>
  <si>
    <t xml:space="preserve">B : Acquis : les objectifs définis sont partiellement atteints - écarts mineurs constatés </t>
  </si>
  <si>
    <t>C : Non acquis : les objectifs définis ne sont pas atteints - écarts majeurs constatés</t>
  </si>
  <si>
    <t>D : Non acquis : les objectifs définis ne sont pas atteints - écarts critiques constatés</t>
  </si>
  <si>
    <t>Signature</t>
  </si>
  <si>
    <t>Evaluateur 1</t>
  </si>
  <si>
    <t>Evaluateur 2</t>
  </si>
  <si>
    <t>Evaluateur 3</t>
  </si>
  <si>
    <t>Commentaires :</t>
  </si>
  <si>
    <t>NOTATION DU TRAVAIL COLLECTIF</t>
  </si>
  <si>
    <t>Thèmes</t>
  </si>
  <si>
    <t>Critères</t>
  </si>
  <si>
    <t>Points à attribuer</t>
  </si>
  <si>
    <t>Points obtenus</t>
  </si>
  <si>
    <t>Commentaires/Argumentations</t>
  </si>
  <si>
    <t>Présentation orale</t>
  </si>
  <si>
    <t>La présentation du  groupe permet de comprendre comment le groupe s'est organisé.  Un bilan faisant apparaitre les points forts et les axes d'amélioration du groupe est présenté.</t>
  </si>
  <si>
    <t>La présentation est fluide et professionnelle. Le support de présentation est adapté à un professionnel IT.</t>
  </si>
  <si>
    <t>Total :</t>
  </si>
  <si>
    <t>Note (lettre) collective :</t>
  </si>
  <si>
    <t>Conversion lettre</t>
  </si>
  <si>
    <t>NOTATION INDIVIDUELLE</t>
  </si>
  <si>
    <t>Compétences techniques</t>
  </si>
  <si>
    <t>Participation individuelle et efficacité</t>
  </si>
  <si>
    <t>Maîtrise des outils</t>
  </si>
  <si>
    <t>Réaction face à un imprévu</t>
  </si>
  <si>
    <t>Qualité de la prestation orale</t>
  </si>
  <si>
    <t>Animation, prise en compte de l’auditoire</t>
  </si>
  <si>
    <t>Les réponses aux questions sont argumentées et justifiées</t>
  </si>
  <si>
    <t>Note (lettre) individuelle :</t>
  </si>
  <si>
    <t>INFMSIALPC3</t>
  </si>
  <si>
    <t xml:space="preserve">Manager les équipes et la transformation du SI </t>
  </si>
  <si>
    <t>Modéliser les flux métiers et les ressources techniques du SI</t>
  </si>
  <si>
    <t>Encadrer les équipes internes et/ou externes</t>
  </si>
  <si>
    <t>Conduire le changement induit par les projets de la DSI</t>
  </si>
  <si>
    <t xml:space="preserve">les processus métiers SI sont listées. Les tâches principales et acteurs impliqués dans les processus sont identifiés. </t>
  </si>
  <si>
    <t>les applications métiers SI sont  recensées. Les fonctions métiers associées sont indiquées.</t>
  </si>
  <si>
    <t>les composants de l'infrastructures technique sont recensés. Les applications qu'ils supportent sont identifiées.</t>
  </si>
  <si>
    <t>la comparaison des 3 référentiels  met en avant l'intérêt de leur application dans le cadre de l'entreprise .</t>
  </si>
  <si>
    <t>Le SWOT de l'entreprise distingue clairement les forces, faiblesses, menaces et opportunités de l'entreprise.</t>
  </si>
  <si>
    <t>5 axes d'amélioration SI sont proposés. Ils sont cohérent avec le contexte de l'entrperise.</t>
  </si>
  <si>
    <t>la matrice des responsabilité inclut les parties-prenantes clés dans le cadre de la transformation du SI. les responsabilités sont clairement identifiées.</t>
  </si>
  <si>
    <t>l'organisation des équipes est décrite SI. Les relations hierarchiques et transversales sont indiquées</t>
  </si>
  <si>
    <t>les outils proposés permettent de suivre les projets de transformation.</t>
  </si>
  <si>
    <t>les outils proposés permettent de piloter le changement.</t>
  </si>
  <si>
    <t>les arguments du pitch permettent de faire adhérer la direction à l'adoption de la conduite du changement.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</si>
</sst>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1"/>
      <color theme="1"/>
      <name val="Calibri"/>
      <family val="2"/>
    </font>
    <font>
      <sz val="4"/>
      <color theme="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7">
    <xf numFmtId="0" fontId="0" fillId="0" borderId="0" xfId="0"/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0" xfId="0" applyFont="1" applyAlignment="1">
      <alignment horizontal="right"/>
    </xf>
    <xf numFmtId="0" fontId="5" fillId="0" borderId="0" xfId="0" applyFont="1"/>
    <xf numFmtId="0" fontId="7" fillId="0" borderId="2" xfId="0" applyFont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3" fillId="0" borderId="30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0" fontId="9" fillId="0" borderId="10" xfId="0" applyFont="1" applyBorder="1" applyAlignment="1">
      <alignment horizontal="center" vertical="center" wrapText="1"/>
    </xf>
    <xf numFmtId="0" fontId="2" fillId="0" borderId="9" xfId="0" applyFont="1" applyBorder="1" applyAlignment="1">
      <alignment vertical="center"/>
    </xf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vertical="center"/>
    </xf>
    <xf numFmtId="0" fontId="3" fillId="0" borderId="36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2" fillId="0" borderId="45" xfId="0" applyFont="1" applyBorder="1" applyAlignment="1">
      <alignment vertical="top"/>
    </xf>
    <xf numFmtId="0" fontId="2" fillId="0" borderId="46" xfId="0" applyFont="1" applyBorder="1" applyAlignment="1">
      <alignment vertical="top"/>
    </xf>
    <xf numFmtId="0" fontId="2" fillId="0" borderId="47" xfId="0" applyFont="1" applyBorder="1" applyAlignment="1">
      <alignment vertical="top"/>
    </xf>
    <xf numFmtId="0" fontId="2" fillId="0" borderId="0" xfId="0" applyFont="1" applyAlignment="1">
      <alignment horizontal="center" vertical="top"/>
    </xf>
    <xf numFmtId="0" fontId="0" fillId="0" borderId="7" xfId="0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3" fillId="5" borderId="0" xfId="0" applyFont="1" applyFill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2" fillId="0" borderId="0" xfId="0" quotePrefix="1" applyFont="1" applyAlignment="1">
      <alignment horizontal="right" vertical="center"/>
    </xf>
    <xf numFmtId="0" fontId="0" fillId="0" borderId="36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15" fillId="0" borderId="0" xfId="0" applyFont="1" applyAlignment="1">
      <alignment wrapText="1"/>
    </xf>
    <xf numFmtId="0" fontId="13" fillId="0" borderId="0" xfId="0" applyFont="1"/>
    <xf numFmtId="0" fontId="0" fillId="0" borderId="52" xfId="0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0" fontId="4" fillId="0" borderId="54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16" fillId="0" borderId="0" xfId="0" applyFont="1"/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8" fillId="0" borderId="41" xfId="0" applyFont="1" applyBorder="1" applyAlignment="1">
      <alignment horizontal="center" vertical="center" wrapText="1"/>
    </xf>
    <xf numFmtId="0" fontId="8" fillId="0" borderId="42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40" xfId="0" applyFont="1" applyBorder="1" applyAlignment="1">
      <alignment horizontal="center" vertical="center" wrapText="1"/>
    </xf>
    <xf numFmtId="0" fontId="8" fillId="0" borderId="43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left" wrapText="1"/>
    </xf>
    <xf numFmtId="0" fontId="5" fillId="0" borderId="26" xfId="0" applyFont="1" applyBorder="1" applyAlignment="1">
      <alignment horizontal="left" wrapText="1"/>
    </xf>
    <xf numFmtId="0" fontId="4" fillId="0" borderId="21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left" wrapText="1"/>
    </xf>
    <xf numFmtId="0" fontId="5" fillId="0" borderId="25" xfId="0" applyFont="1" applyBorder="1" applyAlignment="1">
      <alignment horizontal="left" wrapText="1"/>
    </xf>
    <xf numFmtId="0" fontId="4" fillId="0" borderId="18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5" fillId="0" borderId="28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30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/>
    </xf>
    <xf numFmtId="0" fontId="2" fillId="4" borderId="35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4" fillId="0" borderId="56" xfId="0" applyFont="1" applyBorder="1" applyAlignment="1">
      <alignment horizontal="left" vertical="center" wrapText="1"/>
    </xf>
    <xf numFmtId="0" fontId="4" fillId="0" borderId="57" xfId="0" applyFont="1" applyBorder="1" applyAlignment="1">
      <alignment horizontal="left" vertical="center" wrapText="1"/>
    </xf>
    <xf numFmtId="0" fontId="4" fillId="0" borderId="18" xfId="0" applyFont="1" applyBorder="1" applyAlignment="1">
      <alignment horizontal="left" vertical="center" wrapText="1"/>
    </xf>
    <xf numFmtId="0" fontId="4" fillId="0" borderId="25" xfId="0" applyFont="1" applyBorder="1" applyAlignment="1">
      <alignment horizontal="left" vertical="center" wrapText="1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/>
    </xf>
    <xf numFmtId="0" fontId="2" fillId="0" borderId="51" xfId="0" applyFont="1" applyBorder="1" applyAlignment="1">
      <alignment horizontal="center"/>
    </xf>
    <xf numFmtId="0" fontId="4" fillId="0" borderId="59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left" vertical="center" wrapText="1"/>
    </xf>
    <xf numFmtId="0" fontId="4" fillId="0" borderId="34" xfId="0" applyFont="1" applyBorder="1" applyAlignment="1">
      <alignment horizontal="left" vertical="center" wrapText="1"/>
    </xf>
    <xf numFmtId="0" fontId="12" fillId="4" borderId="12" xfId="0" applyFont="1" applyFill="1" applyBorder="1" applyAlignment="1">
      <alignment horizontal="center" vertical="center"/>
    </xf>
    <xf numFmtId="0" fontId="12" fillId="4" borderId="35" xfId="0" applyFont="1" applyFill="1" applyBorder="1" applyAlignment="1">
      <alignment horizontal="center" vertical="center"/>
    </xf>
    <xf numFmtId="0" fontId="12" fillId="4" borderId="13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2" fillId="0" borderId="48" xfId="0" applyFont="1" applyBorder="1" applyAlignment="1">
      <alignment horizontal="center" vertical="top"/>
    </xf>
    <xf numFmtId="0" fontId="2" fillId="0" borderId="44" xfId="0" applyFont="1" applyBorder="1" applyAlignment="1">
      <alignment horizontal="center" vertical="top"/>
    </xf>
    <xf numFmtId="0" fontId="2" fillId="0" borderId="49" xfId="0" applyFont="1" applyBorder="1" applyAlignment="1">
      <alignment horizontal="center" vertical="top"/>
    </xf>
    <xf numFmtId="0" fontId="2" fillId="0" borderId="50" xfId="0" applyFont="1" applyBorder="1" applyAlignment="1">
      <alignment horizontal="center" vertical="top"/>
    </xf>
    <xf numFmtId="0" fontId="2" fillId="0" borderId="51" xfId="0" applyFont="1" applyBorder="1" applyAlignment="1">
      <alignment horizontal="center" vertical="top"/>
    </xf>
    <xf numFmtId="0" fontId="8" fillId="0" borderId="3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12" fillId="0" borderId="0" xfId="0" applyFont="1" applyAlignment="1">
      <alignment horizontal="right" vertical="center" wrapText="1"/>
    </xf>
    <xf numFmtId="0" fontId="12" fillId="0" borderId="48" xfId="0" applyFont="1" applyBorder="1" applyAlignment="1">
      <alignment horizontal="right" vertical="center" wrapText="1"/>
    </xf>
    <xf numFmtId="0" fontId="4" fillId="0" borderId="6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143"/>
  <sheetViews>
    <sheetView showGridLines="0" tabSelected="1" zoomScale="90" zoomScaleNormal="90" zoomScalePageLayoutView="130" workbookViewId="0">
      <selection activeCell="D55" sqref="D55"/>
    </sheetView>
  </sheetViews>
  <sheetFormatPr baseColWidth="10" defaultColWidth="11.44140625" defaultRowHeight="14.4" x14ac:dyDescent="0.3"/>
  <cols>
    <col min="1" max="1" width="14.33203125" customWidth="1"/>
    <col min="2" max="2" width="11.44140625" customWidth="1"/>
    <col min="3" max="3" width="25.6640625" customWidth="1"/>
    <col min="4" max="5" width="8.6640625" customWidth="1"/>
    <col min="6" max="6" width="9.5546875" customWidth="1"/>
    <col min="7" max="7" width="8.6640625" customWidth="1"/>
    <col min="8" max="8" width="16.6640625" customWidth="1"/>
  </cols>
  <sheetData>
    <row r="2" spans="1:10" ht="10.199999999999999" customHeight="1" x14ac:dyDescent="0.3"/>
    <row r="3" spans="1:10" ht="15" thickBot="1" x14ac:dyDescent="0.35"/>
    <row r="4" spans="1:10" s="32" customFormat="1" ht="30.75" customHeight="1" thickBot="1" x14ac:dyDescent="0.5">
      <c r="A4" s="144" t="s">
        <v>0</v>
      </c>
      <c r="B4" s="145"/>
      <c r="C4" s="123" t="s">
        <v>47</v>
      </c>
      <c r="D4" s="124"/>
      <c r="E4" s="124"/>
      <c r="F4" s="124"/>
      <c r="G4" s="125"/>
      <c r="H4" s="52" t="e">
        <f ca="1">RIGHT(MID(CELL("nomfichier",A1),FIND("[",CELL("nomfichier",A1))+1,FIND("]", CELL("nomfichier",A1))-FIND("[",CELL("nomfichier",A1))-1),(LEN(MID(CELL("nomfichier",A1),FIND("[",CELL("nomfichier",A1))+1,FIND("]", CELL("nomfichier",A1))-FIND("[",CELL("nomfichier",A1))-1))-SEARCH("-",MID(CELL("nomfichier",A1),FIND("[",CELL("nomfichier",A1))+1,FIND("]", CELL("nomfichier",A1))-FIND("[",CELL("nomfichier",A1))-1))))</f>
        <v>#VALUE!</v>
      </c>
    </row>
    <row r="5" spans="1:10" s="32" customFormat="1" ht="10.199999999999999" customHeight="1" thickBot="1" x14ac:dyDescent="0.5">
      <c r="B5" s="33"/>
      <c r="C5" s="47"/>
      <c r="D5" s="47"/>
      <c r="E5" s="47"/>
      <c r="F5" s="47"/>
      <c r="G5" s="47"/>
      <c r="H5" s="53"/>
    </row>
    <row r="6" spans="1:10" ht="34.5" customHeight="1" thickBot="1" x14ac:dyDescent="0.35">
      <c r="A6" s="144" t="s">
        <v>1</v>
      </c>
      <c r="B6" s="145"/>
      <c r="C6" s="123" t="s">
        <v>48</v>
      </c>
      <c r="D6" s="124"/>
      <c r="E6" s="124"/>
      <c r="F6" s="124"/>
      <c r="G6" s="125"/>
      <c r="H6" s="52" t="e">
        <f ca="1">RIGHT(H4,(LEN(H4)-SEARCH("-",H4)-1))</f>
        <v>#VALUE!</v>
      </c>
    </row>
    <row r="7" spans="1:10" x14ac:dyDescent="0.3">
      <c r="J7" s="59" t="s">
        <v>2</v>
      </c>
    </row>
    <row r="8" spans="1:10" ht="15" thickBot="1" x14ac:dyDescent="0.35"/>
    <row r="9" spans="1:10" ht="24" customHeight="1" thickBot="1" x14ac:dyDescent="0.35">
      <c r="A9" s="46" t="s">
        <v>3</v>
      </c>
      <c r="B9" s="100"/>
      <c r="C9" s="101"/>
      <c r="E9" s="45" t="s">
        <v>4</v>
      </c>
      <c r="F9" s="100"/>
      <c r="G9" s="101"/>
    </row>
    <row r="10" spans="1:10" ht="15" thickBot="1" x14ac:dyDescent="0.35"/>
    <row r="11" spans="1:10" ht="12.6" customHeight="1" x14ac:dyDescent="0.3">
      <c r="E11" s="142" t="s">
        <v>5</v>
      </c>
      <c r="F11" s="143"/>
    </row>
    <row r="12" spans="1:10" ht="8.4" customHeight="1" thickBot="1" x14ac:dyDescent="0.35">
      <c r="E12" s="38">
        <v>1</v>
      </c>
      <c r="F12" s="39">
        <v>2</v>
      </c>
    </row>
    <row r="13" spans="1:10" ht="24.6" thickBot="1" x14ac:dyDescent="0.35">
      <c r="A13" s="22"/>
      <c r="B13" s="89" t="s">
        <v>6</v>
      </c>
      <c r="C13" s="98"/>
      <c r="D13" s="99"/>
      <c r="E13" s="16" t="s">
        <v>7</v>
      </c>
      <c r="F13" s="17" t="s">
        <v>8</v>
      </c>
      <c r="H13" s="35" t="s">
        <v>9</v>
      </c>
    </row>
    <row r="14" spans="1:10" s="4" customFormat="1" ht="19.2" customHeight="1" x14ac:dyDescent="0.3">
      <c r="A14" s="7" t="s">
        <v>10</v>
      </c>
      <c r="B14" s="90"/>
      <c r="C14" s="90"/>
      <c r="D14" s="90"/>
      <c r="E14" s="18" t="str">
        <f>IF(B14="","",H37)</f>
        <v/>
      </c>
      <c r="F14" s="19" t="str">
        <f>H90</f>
        <v/>
      </c>
      <c r="G14" s="34">
        <f>(E12*(IF(E14="A", 4, IF(E14="B", 3, IF(E14="C", 2, IF(E14="D",1, 0)))))+(F12*IF(F14="A", 4, IF(F14="B", 3, IF(F14="C", 2, IF(F14="D",1, 0))))))/(E12+F12)</f>
        <v>0</v>
      </c>
      <c r="H14" s="50" t="str">
        <f>IF(F14="",E14,IF(G14&gt;0,IF(G14&gt;=3.6, "A", IF(G14&gt;=2.6, "B", IF(G14&gt;=1.6, "C", "D"))),""))</f>
        <v/>
      </c>
    </row>
    <row r="15" spans="1:10" s="4" customFormat="1" ht="19.2" customHeight="1" x14ac:dyDescent="0.3">
      <c r="A15" s="7" t="s">
        <v>11</v>
      </c>
      <c r="B15" s="90"/>
      <c r="C15" s="90"/>
      <c r="D15" s="90"/>
      <c r="E15" s="18" t="str">
        <f t="shared" ref="E15:E19" si="0">IF(B15="","",H38)</f>
        <v/>
      </c>
      <c r="F15" s="19" t="str">
        <f>H99</f>
        <v/>
      </c>
      <c r="G15" s="34">
        <f t="shared" ref="G15:G19" si="1">(IF(E15="A", 4, IF(E15="B", 3, IF(E15="C", 2, IF(E15="D",1, 0))))+(2*IF(F15="A", 4, IF(F15="B", 3, IF(F15="C", 2, IF(F15="D",1, 0))))))/3</f>
        <v>0</v>
      </c>
      <c r="H15" s="36" t="str">
        <f t="shared" ref="H15:H19" si="2">IF(F15="",E15,IF(G15&gt;0,IF(G15&gt;=3.6, "A", IF(G15&gt;=2.6, "B", IF(G15&gt;=1.6, "C", "D"))),""))</f>
        <v/>
      </c>
    </row>
    <row r="16" spans="1:10" s="4" customFormat="1" ht="19.2" customHeight="1" x14ac:dyDescent="0.3">
      <c r="A16" s="7" t="s">
        <v>12</v>
      </c>
      <c r="B16" s="90"/>
      <c r="C16" s="90"/>
      <c r="D16" s="90"/>
      <c r="E16" s="18" t="str">
        <f t="shared" si="0"/>
        <v/>
      </c>
      <c r="F16" s="19" t="str">
        <f>H108</f>
        <v/>
      </c>
      <c r="G16" s="34">
        <f t="shared" si="1"/>
        <v>0</v>
      </c>
      <c r="H16" s="36" t="str">
        <f t="shared" si="2"/>
        <v/>
      </c>
    </row>
    <row r="17" spans="1:8" s="4" customFormat="1" ht="19.2" customHeight="1" x14ac:dyDescent="0.3">
      <c r="A17" s="7" t="s">
        <v>13</v>
      </c>
      <c r="B17" s="90"/>
      <c r="C17" s="90"/>
      <c r="D17" s="90"/>
      <c r="E17" s="18" t="str">
        <f t="shared" si="0"/>
        <v/>
      </c>
      <c r="F17" s="19" t="str">
        <f>H121</f>
        <v/>
      </c>
      <c r="G17" s="34">
        <f t="shared" si="1"/>
        <v>0</v>
      </c>
      <c r="H17" s="36" t="str">
        <f t="shared" si="2"/>
        <v/>
      </c>
    </row>
    <row r="18" spans="1:8" s="4" customFormat="1" ht="19.2" customHeight="1" x14ac:dyDescent="0.3">
      <c r="A18" s="7" t="s">
        <v>14</v>
      </c>
      <c r="B18" s="90"/>
      <c r="C18" s="90"/>
      <c r="D18" s="90"/>
      <c r="E18" s="18" t="str">
        <f t="shared" si="0"/>
        <v/>
      </c>
      <c r="F18" s="19" t="str">
        <f>H130</f>
        <v/>
      </c>
      <c r="G18" s="34">
        <f t="shared" si="1"/>
        <v>0</v>
      </c>
      <c r="H18" s="36" t="str">
        <f t="shared" si="2"/>
        <v/>
      </c>
    </row>
    <row r="19" spans="1:8" s="4" customFormat="1" ht="19.2" customHeight="1" thickBot="1" x14ac:dyDescent="0.35">
      <c r="A19" s="8" t="s">
        <v>15</v>
      </c>
      <c r="B19" s="92"/>
      <c r="C19" s="92"/>
      <c r="D19" s="92"/>
      <c r="E19" s="20" t="str">
        <f t="shared" si="0"/>
        <v/>
      </c>
      <c r="F19" s="21" t="str">
        <f>H139</f>
        <v/>
      </c>
      <c r="G19" s="34">
        <f t="shared" si="1"/>
        <v>0</v>
      </c>
      <c r="H19" s="37" t="str">
        <f t="shared" si="2"/>
        <v/>
      </c>
    </row>
    <row r="20" spans="1:8" s="4" customFormat="1" ht="19.2" customHeight="1" x14ac:dyDescent="0.3">
      <c r="A20" s="23"/>
      <c r="B20" s="24"/>
      <c r="C20" s="24"/>
      <c r="D20" s="24"/>
      <c r="E20" s="25"/>
      <c r="F20" s="25"/>
      <c r="G20" s="34"/>
      <c r="H20" s="25"/>
    </row>
    <row r="21" spans="1:8" s="4" customFormat="1" ht="15" customHeight="1" x14ac:dyDescent="0.3">
      <c r="A21" s="49" t="s">
        <v>16</v>
      </c>
      <c r="B21" s="48" t="s">
        <v>17</v>
      </c>
      <c r="D21" s="24"/>
      <c r="E21" s="25"/>
      <c r="F21" s="25"/>
      <c r="G21" s="34"/>
      <c r="H21" s="25"/>
    </row>
    <row r="22" spans="1:8" s="4" customFormat="1" ht="15" customHeight="1" x14ac:dyDescent="0.3">
      <c r="A22" s="23"/>
      <c r="B22" s="48" t="s">
        <v>18</v>
      </c>
      <c r="D22" s="24"/>
      <c r="E22" s="25"/>
      <c r="F22" s="25"/>
      <c r="G22" s="34"/>
      <c r="H22" s="25"/>
    </row>
    <row r="23" spans="1:8" s="4" customFormat="1" ht="15" customHeight="1" x14ac:dyDescent="0.3">
      <c r="A23" s="23"/>
      <c r="B23" s="48" t="s">
        <v>19</v>
      </c>
      <c r="D23" s="24"/>
      <c r="E23" s="25"/>
      <c r="F23" s="25"/>
      <c r="G23" s="34"/>
      <c r="H23" s="25"/>
    </row>
    <row r="24" spans="1:8" s="4" customFormat="1" ht="15" customHeight="1" x14ac:dyDescent="0.3">
      <c r="A24" s="23"/>
      <c r="B24" s="48" t="s">
        <v>20</v>
      </c>
      <c r="D24" s="24"/>
      <c r="E24" s="25"/>
      <c r="F24" s="25"/>
      <c r="G24" s="34"/>
      <c r="H24" s="25"/>
    </row>
    <row r="25" spans="1:8" s="4" customFormat="1" ht="19.2" customHeight="1" thickBot="1" x14ac:dyDescent="0.35">
      <c r="A25" s="23"/>
      <c r="B25" s="24"/>
      <c r="C25" s="24"/>
      <c r="D25" s="24"/>
      <c r="E25" s="25"/>
      <c r="F25" s="25"/>
      <c r="G25" s="34"/>
      <c r="H25" s="25"/>
    </row>
    <row r="26" spans="1:8" ht="15" thickBot="1" x14ac:dyDescent="0.35">
      <c r="A26" s="3"/>
      <c r="B26" s="116" t="s">
        <v>6</v>
      </c>
      <c r="C26" s="116"/>
      <c r="D26" s="117"/>
      <c r="E26" s="126" t="s">
        <v>21</v>
      </c>
      <c r="F26" s="127"/>
      <c r="G26" s="128"/>
    </row>
    <row r="27" spans="1:8" ht="37.200000000000003" customHeight="1" x14ac:dyDescent="0.3">
      <c r="A27" s="6" t="s">
        <v>22</v>
      </c>
      <c r="B27" s="88"/>
      <c r="C27" s="88"/>
      <c r="D27" s="89"/>
      <c r="E27" s="129"/>
      <c r="F27" s="88"/>
      <c r="G27" s="130"/>
      <c r="H27" s="23"/>
    </row>
    <row r="28" spans="1:8" ht="37.200000000000003" customHeight="1" x14ac:dyDescent="0.3">
      <c r="A28" s="7" t="s">
        <v>23</v>
      </c>
      <c r="B28" s="90"/>
      <c r="C28" s="90"/>
      <c r="D28" s="91"/>
      <c r="E28" s="131"/>
      <c r="F28" s="90"/>
      <c r="G28" s="132"/>
      <c r="H28" s="23"/>
    </row>
    <row r="29" spans="1:8" ht="37.200000000000003" customHeight="1" thickBot="1" x14ac:dyDescent="0.35">
      <c r="A29" s="8" t="s">
        <v>24</v>
      </c>
      <c r="B29" s="92"/>
      <c r="C29" s="92"/>
      <c r="D29" s="93"/>
      <c r="E29" s="133"/>
      <c r="F29" s="92"/>
      <c r="G29" s="134"/>
      <c r="H29" s="23"/>
    </row>
    <row r="30" spans="1:8" ht="18" customHeight="1" thickBot="1" x14ac:dyDescent="0.35">
      <c r="A30" s="23"/>
      <c r="B30" s="24"/>
      <c r="C30" s="24"/>
      <c r="D30" s="24"/>
      <c r="E30" s="23"/>
      <c r="F30" s="23"/>
      <c r="G30" s="23"/>
      <c r="H30" s="23"/>
    </row>
    <row r="31" spans="1:8" ht="21" customHeight="1" x14ac:dyDescent="0.3">
      <c r="A31" s="40" t="s">
        <v>25</v>
      </c>
      <c r="B31" s="41"/>
      <c r="C31" s="41"/>
      <c r="D31" s="41"/>
      <c r="E31" s="41"/>
      <c r="F31" s="41"/>
      <c r="G31" s="41"/>
      <c r="H31" s="42"/>
    </row>
    <row r="32" spans="1:8" ht="16.95" customHeight="1" x14ac:dyDescent="0.3">
      <c r="A32" s="135"/>
      <c r="B32" s="136"/>
      <c r="C32" s="136"/>
      <c r="D32" s="136"/>
      <c r="E32" s="136"/>
      <c r="F32" s="136"/>
      <c r="G32" s="136"/>
      <c r="H32" s="137"/>
    </row>
    <row r="33" spans="1:8" ht="16.95" customHeight="1" x14ac:dyDescent="0.3">
      <c r="A33" s="138"/>
      <c r="B33" s="136"/>
      <c r="C33" s="136"/>
      <c r="D33" s="136"/>
      <c r="E33" s="136"/>
      <c r="F33" s="136"/>
      <c r="G33" s="136"/>
      <c r="H33" s="137"/>
    </row>
    <row r="34" spans="1:8" ht="16.95" customHeight="1" x14ac:dyDescent="0.3">
      <c r="A34" s="138"/>
      <c r="B34" s="136"/>
      <c r="C34" s="136"/>
      <c r="D34" s="136"/>
      <c r="E34" s="136"/>
      <c r="F34" s="136"/>
      <c r="G34" s="136"/>
      <c r="H34" s="137"/>
    </row>
    <row r="35" spans="1:8" ht="16.95" customHeight="1" x14ac:dyDescent="0.3">
      <c r="A35" s="138"/>
      <c r="B35" s="136"/>
      <c r="C35" s="136"/>
      <c r="D35" s="136"/>
      <c r="E35" s="136"/>
      <c r="F35" s="136"/>
      <c r="G35" s="136"/>
      <c r="H35" s="137"/>
    </row>
    <row r="36" spans="1:8" ht="16.95" customHeight="1" x14ac:dyDescent="0.3">
      <c r="A36" s="138"/>
      <c r="B36" s="136"/>
      <c r="C36" s="136"/>
      <c r="D36" s="136"/>
      <c r="E36" s="136"/>
      <c r="F36" s="136"/>
      <c r="G36" s="136"/>
      <c r="H36" s="137"/>
    </row>
    <row r="37" spans="1:8" ht="16.95" customHeight="1" thickBot="1" x14ac:dyDescent="0.35">
      <c r="A37" s="139"/>
      <c r="B37" s="140"/>
      <c r="C37" s="140"/>
      <c r="D37" s="140"/>
      <c r="E37" s="140"/>
      <c r="F37" s="140"/>
      <c r="G37" s="140"/>
      <c r="H37" s="141"/>
    </row>
    <row r="38" spans="1:8" ht="16.95" customHeight="1" x14ac:dyDescent="0.3">
      <c r="A38" s="43"/>
      <c r="B38" s="43"/>
      <c r="C38" s="43"/>
      <c r="D38" s="43"/>
      <c r="E38" s="43"/>
      <c r="F38" s="43"/>
      <c r="G38" s="43"/>
      <c r="H38" s="43"/>
    </row>
    <row r="39" spans="1:8" ht="16.95" customHeight="1" x14ac:dyDescent="0.3">
      <c r="A39" s="43"/>
      <c r="B39" s="43"/>
      <c r="C39" s="43"/>
      <c r="D39" s="43"/>
      <c r="E39" s="43"/>
      <c r="F39" s="43"/>
      <c r="G39" s="43"/>
      <c r="H39" s="43"/>
    </row>
    <row r="40" spans="1:8" ht="16.95" customHeight="1" x14ac:dyDescent="0.3">
      <c r="A40" s="43"/>
      <c r="B40" s="43"/>
      <c r="C40" s="43"/>
      <c r="D40" s="43"/>
      <c r="E40" s="43"/>
      <c r="F40" s="43"/>
      <c r="G40" s="43"/>
      <c r="H40" s="43"/>
    </row>
    <row r="41" spans="1:8" s="4" customFormat="1" ht="12.6" customHeight="1" thickBot="1" x14ac:dyDescent="0.35">
      <c r="A41" s="23"/>
      <c r="B41" s="24"/>
      <c r="C41" s="24"/>
      <c r="D41" s="24"/>
      <c r="E41" s="25"/>
      <c r="F41" s="25"/>
      <c r="G41" s="25"/>
    </row>
    <row r="42" spans="1:8" ht="15" thickBot="1" x14ac:dyDescent="0.35">
      <c r="A42" s="95" t="s">
        <v>26</v>
      </c>
      <c r="B42" s="96"/>
      <c r="C42" s="96"/>
      <c r="D42" s="96"/>
      <c r="E42" s="96"/>
      <c r="F42" s="96"/>
      <c r="G42" s="96"/>
      <c r="H42" s="97"/>
    </row>
    <row r="43" spans="1:8" ht="15" thickBot="1" x14ac:dyDescent="0.35"/>
    <row r="44" spans="1:8" ht="21" thickBot="1" x14ac:dyDescent="0.35">
      <c r="A44" s="1" t="s">
        <v>27</v>
      </c>
      <c r="B44" s="68" t="s">
        <v>28</v>
      </c>
      <c r="C44" s="69"/>
      <c r="D44" s="30" t="s">
        <v>29</v>
      </c>
      <c r="E44" s="30" t="s">
        <v>30</v>
      </c>
      <c r="F44" s="77" t="s">
        <v>31</v>
      </c>
      <c r="G44" s="77"/>
      <c r="H44" s="78"/>
    </row>
    <row r="45" spans="1:8" ht="50.4" customHeight="1" x14ac:dyDescent="0.3">
      <c r="A45" s="119" t="s">
        <v>49</v>
      </c>
      <c r="B45" s="121" t="s">
        <v>56</v>
      </c>
      <c r="C45" s="122"/>
      <c r="D45" s="44">
        <v>1</v>
      </c>
      <c r="E45" s="44"/>
      <c r="F45" s="114"/>
      <c r="G45" s="114"/>
      <c r="H45" s="115"/>
    </row>
    <row r="46" spans="1:8" ht="46.8" customHeight="1" x14ac:dyDescent="0.3">
      <c r="A46" s="120"/>
      <c r="B46" s="102" t="s">
        <v>52</v>
      </c>
      <c r="C46" s="103"/>
      <c r="D46" s="18">
        <v>2</v>
      </c>
      <c r="E46" s="18"/>
      <c r="F46" s="106"/>
      <c r="G46" s="107"/>
      <c r="H46" s="108"/>
    </row>
    <row r="47" spans="1:8" ht="40.799999999999997" customHeight="1" x14ac:dyDescent="0.3">
      <c r="A47" s="120"/>
      <c r="B47" s="104" t="s">
        <v>53</v>
      </c>
      <c r="C47" s="105"/>
      <c r="D47" s="18">
        <v>2</v>
      </c>
      <c r="E47" s="18"/>
      <c r="F47" s="60"/>
      <c r="G47" s="61"/>
      <c r="H47" s="62"/>
    </row>
    <row r="48" spans="1:8" ht="52.8" customHeight="1" x14ac:dyDescent="0.3">
      <c r="A48" s="120"/>
      <c r="B48" s="104" t="s">
        <v>54</v>
      </c>
      <c r="C48" s="105"/>
      <c r="D48" s="18">
        <v>2</v>
      </c>
      <c r="E48" s="18"/>
      <c r="F48" s="106"/>
      <c r="G48" s="107"/>
      <c r="H48" s="108"/>
    </row>
    <row r="49" spans="1:8" ht="37.799999999999997" customHeight="1" x14ac:dyDescent="0.3">
      <c r="A49" s="120"/>
      <c r="B49" s="104" t="s">
        <v>57</v>
      </c>
      <c r="C49" s="105"/>
      <c r="D49" s="18">
        <v>1</v>
      </c>
      <c r="E49" s="18"/>
      <c r="F49" s="60"/>
      <c r="G49" s="61"/>
      <c r="H49" s="62"/>
    </row>
    <row r="50" spans="1:8" ht="42" customHeight="1" x14ac:dyDescent="0.3">
      <c r="A50" s="110"/>
      <c r="B50" s="104" t="s">
        <v>55</v>
      </c>
      <c r="C50" s="105"/>
      <c r="D50" s="18">
        <v>2</v>
      </c>
      <c r="E50" s="18"/>
      <c r="F50" s="60"/>
      <c r="G50" s="61"/>
      <c r="H50" s="62"/>
    </row>
    <row r="51" spans="1:8" ht="43.2" customHeight="1" x14ac:dyDescent="0.3">
      <c r="A51" s="109" t="s">
        <v>50</v>
      </c>
      <c r="B51" s="104" t="s">
        <v>59</v>
      </c>
      <c r="C51" s="105"/>
      <c r="D51" s="18">
        <v>2</v>
      </c>
      <c r="E51" s="18"/>
      <c r="F51" s="106"/>
      <c r="G51" s="107"/>
      <c r="H51" s="108"/>
    </row>
    <row r="52" spans="1:8" ht="68.400000000000006" customHeight="1" x14ac:dyDescent="0.3">
      <c r="A52" s="110"/>
      <c r="B52" s="104" t="s">
        <v>58</v>
      </c>
      <c r="C52" s="105"/>
      <c r="D52" s="18">
        <v>2</v>
      </c>
      <c r="E52" s="18"/>
      <c r="F52" s="106"/>
      <c r="G52" s="107"/>
      <c r="H52" s="108"/>
    </row>
    <row r="53" spans="1:8" ht="78" customHeight="1" x14ac:dyDescent="0.3">
      <c r="A53" s="109" t="s">
        <v>51</v>
      </c>
      <c r="B53" s="104" t="s">
        <v>60</v>
      </c>
      <c r="C53" s="105"/>
      <c r="D53" s="18">
        <v>1</v>
      </c>
      <c r="E53" s="18"/>
      <c r="F53" s="106"/>
      <c r="G53" s="107"/>
      <c r="H53" s="108"/>
    </row>
    <row r="54" spans="1:8" ht="78" customHeight="1" x14ac:dyDescent="0.3">
      <c r="A54" s="120"/>
      <c r="B54" s="104" t="s">
        <v>61</v>
      </c>
      <c r="C54" s="105"/>
      <c r="D54" s="18">
        <v>1</v>
      </c>
      <c r="E54" s="54"/>
      <c r="F54" s="55"/>
      <c r="G54" s="56"/>
      <c r="H54" s="57"/>
    </row>
    <row r="55" spans="1:8" ht="77.25" customHeight="1" x14ac:dyDescent="0.3">
      <c r="A55" s="110"/>
      <c r="B55" s="104" t="s">
        <v>62</v>
      </c>
      <c r="C55" s="105"/>
      <c r="D55" s="18">
        <v>2</v>
      </c>
      <c r="E55" s="54"/>
      <c r="F55" s="55"/>
      <c r="G55" s="56"/>
      <c r="H55" s="57"/>
    </row>
    <row r="56" spans="1:8" ht="87.75" customHeight="1" x14ac:dyDescent="0.3">
      <c r="A56" s="146" t="s">
        <v>32</v>
      </c>
      <c r="B56" s="104" t="s">
        <v>33</v>
      </c>
      <c r="C56" s="105"/>
      <c r="D56" s="58">
        <v>1</v>
      </c>
      <c r="E56" s="54"/>
      <c r="F56" s="55"/>
      <c r="G56" s="56"/>
      <c r="H56" s="57"/>
    </row>
    <row r="57" spans="1:8" ht="72" customHeight="1" thickBot="1" x14ac:dyDescent="0.35">
      <c r="A57" s="118"/>
      <c r="B57" s="104" t="s">
        <v>34</v>
      </c>
      <c r="C57" s="105"/>
      <c r="D57" s="20">
        <v>1</v>
      </c>
      <c r="E57" s="20"/>
      <c r="F57" s="111"/>
      <c r="G57" s="112"/>
      <c r="H57" s="113"/>
    </row>
    <row r="58" spans="1:8" ht="15" thickBot="1" x14ac:dyDescent="0.35">
      <c r="C58" s="12" t="s">
        <v>35</v>
      </c>
      <c r="D58" s="15">
        <f>SUM(D45:D57)</f>
        <v>20</v>
      </c>
      <c r="E58" s="14" t="str">
        <f>IF(COUNTA(E45:E57)=0,"",SUM(E45:E57))</f>
        <v/>
      </c>
      <c r="F58" s="13"/>
      <c r="G58" s="29" t="s">
        <v>36</v>
      </c>
      <c r="H58" s="51" t="str">
        <f>IF(E58="","",IF(E58&gt;=MROUND(16*D58/20,1),"A",IF(E58&gt;=MROUND(12*D58/20,1),"B",IF(E58&gt;=MROUND(8*D58/20,1),"C","D"))))</f>
        <v/>
      </c>
    </row>
    <row r="59" spans="1:8" ht="15" thickBot="1" x14ac:dyDescent="0.35"/>
    <row r="60" spans="1:8" ht="29.4" thickBot="1" x14ac:dyDescent="0.35">
      <c r="A60" s="94" t="s">
        <v>37</v>
      </c>
      <c r="B60" s="69"/>
      <c r="C60" s="2" t="str">
        <f>"De "&amp;MROUND(16*D58/20,1)&amp;" à "&amp; D58 &amp;""&amp; CHAR(10) &amp; " =  A"</f>
        <v>De 16 à 20
 =  A</v>
      </c>
      <c r="D60" s="77" t="str">
        <f>"De "&amp;MROUND(12*D58/20,1)&amp;" à "&amp; MROUND(16*D58/20,1)-0.01 &amp;""&amp;CHAR(10)&amp; " =  B"</f>
        <v>De 12 à 15,99
 =  B</v>
      </c>
      <c r="E60" s="77"/>
      <c r="F60" s="77" t="str">
        <f>"De "&amp;MROUND(8*D58/20,1)&amp;" à "&amp; MROUND(12*D58/20,1)-0.01 &amp;""&amp;CHAR(10)&amp; " =  C"</f>
        <v>De 8 à 11,99
 =  C</v>
      </c>
      <c r="G60" s="77"/>
      <c r="H60" s="5" t="str">
        <f>"De "&amp;0&amp;" à "&amp; MROUND(8*D58/20,1)-0.01 &amp;""&amp;CHAR(10)&amp; " =  D"</f>
        <v>De 0 à 7,99
 =  D</v>
      </c>
    </row>
    <row r="77" spans="1:8" ht="15" thickBot="1" x14ac:dyDescent="0.35"/>
    <row r="78" spans="1:8" ht="15" thickBot="1" x14ac:dyDescent="0.35">
      <c r="A78" s="95" t="s">
        <v>38</v>
      </c>
      <c r="B78" s="96"/>
      <c r="C78" s="96"/>
      <c r="D78" s="96"/>
      <c r="E78" s="96"/>
      <c r="F78" s="96"/>
      <c r="G78" s="96"/>
      <c r="H78" s="97"/>
    </row>
    <row r="79" spans="1:8" ht="15" thickBot="1" x14ac:dyDescent="0.35"/>
    <row r="80" spans="1:8" ht="29.4" thickBot="1" x14ac:dyDescent="0.35">
      <c r="A80" s="94" t="s">
        <v>37</v>
      </c>
      <c r="B80" s="69"/>
      <c r="C80" s="2" t="str">
        <f>IF(SUM(D85:D89)=0,"","De "&amp;MROUND(16*D90/20,1)&amp;" à "&amp; D90 &amp;""&amp; CHAR(10) &amp; " =  A")</f>
        <v>De 10 à 12
 =  A</v>
      </c>
      <c r="D80" s="77" t="str">
        <f>IF(SUM(D85:D89)=0,"","De "&amp;MROUND(12*D90/20,1)&amp;" à "&amp; MROUND(16*D90/20,1)-0.01 &amp;""&amp;CHAR(10)&amp; " =  B")</f>
        <v>De 7 à 9,99
 =  B</v>
      </c>
      <c r="E80" s="77"/>
      <c r="F80" s="77" t="str">
        <f>IF(SUM(D85:D89)=0,"","De "&amp;MROUND(8*D90/20,1)&amp;" à "&amp; MROUND(12*D90/20,1)-0.01 &amp;""&amp;CHAR(10)&amp; " =  C")</f>
        <v>De 5 à 6,99
 =  C</v>
      </c>
      <c r="G80" s="77"/>
      <c r="H80" s="5" t="str">
        <f>IF(SUM(D85:D89)=0,"","De "&amp;0&amp;" à "&amp; MROUND(8*D90/20,1)-0.01 &amp;""&amp;CHAR(10)&amp; " =  D")</f>
        <v>De 0 à 4,99
 =  D</v>
      </c>
    </row>
    <row r="82" spans="1:8" ht="15" thickBot="1" x14ac:dyDescent="0.35"/>
    <row r="83" spans="1:8" ht="15" thickBot="1" x14ac:dyDescent="0.35">
      <c r="A83" s="31" t="s">
        <v>10</v>
      </c>
      <c r="B83" s="75" t="str">
        <f>IF($B$14="","",$B$14)</f>
        <v/>
      </c>
      <c r="C83" s="75"/>
      <c r="D83" s="76"/>
    </row>
    <row r="84" spans="1:8" ht="21" thickBot="1" x14ac:dyDescent="0.35">
      <c r="A84" s="1" t="s">
        <v>27</v>
      </c>
      <c r="B84" s="68" t="s">
        <v>28</v>
      </c>
      <c r="C84" s="69"/>
      <c r="D84" s="30" t="s">
        <v>29</v>
      </c>
      <c r="E84" s="30" t="s">
        <v>30</v>
      </c>
      <c r="F84" s="77" t="s">
        <v>31</v>
      </c>
      <c r="G84" s="77"/>
      <c r="H84" s="78"/>
    </row>
    <row r="85" spans="1:8" ht="19.95" customHeight="1" x14ac:dyDescent="0.3">
      <c r="A85" s="65" t="s">
        <v>39</v>
      </c>
      <c r="B85" s="84" t="s">
        <v>40</v>
      </c>
      <c r="C85" s="85"/>
      <c r="D85" s="9">
        <v>2</v>
      </c>
      <c r="E85" s="9"/>
      <c r="F85" s="86"/>
      <c r="G85" s="86"/>
      <c r="H85" s="87"/>
    </row>
    <row r="86" spans="1:8" ht="19.95" customHeight="1" x14ac:dyDescent="0.3">
      <c r="A86" s="66"/>
      <c r="B86" s="79" t="s">
        <v>41</v>
      </c>
      <c r="C86" s="80"/>
      <c r="D86" s="10">
        <v>3</v>
      </c>
      <c r="E86" s="10"/>
      <c r="F86" s="81"/>
      <c r="G86" s="82"/>
      <c r="H86" s="83"/>
    </row>
    <row r="87" spans="1:8" ht="19.95" customHeight="1" x14ac:dyDescent="0.3">
      <c r="A87" s="67"/>
      <c r="B87" s="79" t="s">
        <v>42</v>
      </c>
      <c r="C87" s="80"/>
      <c r="D87" s="10">
        <v>4</v>
      </c>
      <c r="E87" s="10"/>
      <c r="F87" s="81"/>
      <c r="G87" s="82"/>
      <c r="H87" s="83"/>
    </row>
    <row r="88" spans="1:8" ht="27" customHeight="1" x14ac:dyDescent="0.3">
      <c r="A88" s="63" t="s">
        <v>43</v>
      </c>
      <c r="B88" s="79" t="s">
        <v>44</v>
      </c>
      <c r="C88" s="80"/>
      <c r="D88" s="10">
        <v>2</v>
      </c>
      <c r="E88" s="10"/>
      <c r="F88" s="81"/>
      <c r="G88" s="82"/>
      <c r="H88" s="83"/>
    </row>
    <row r="89" spans="1:8" ht="27" customHeight="1" thickBot="1" x14ac:dyDescent="0.35">
      <c r="A89" s="64"/>
      <c r="B89" s="70" t="s">
        <v>45</v>
      </c>
      <c r="C89" s="71"/>
      <c r="D89" s="11">
        <v>1</v>
      </c>
      <c r="E89" s="11"/>
      <c r="F89" s="72"/>
      <c r="G89" s="73"/>
      <c r="H89" s="74"/>
    </row>
    <row r="90" spans="1:8" ht="15" thickBot="1" x14ac:dyDescent="0.35">
      <c r="C90" s="12" t="s">
        <v>35</v>
      </c>
      <c r="D90" s="15">
        <f>IF(COUNTA(D85:D89)=0,"",SUM(D85:D89))</f>
        <v>12</v>
      </c>
      <c r="E90" s="14" t="str">
        <f>IF(COUNTA(E85:E89)=0,"",SUM(E85:E89))</f>
        <v/>
      </c>
      <c r="F90" s="13"/>
      <c r="G90" s="29" t="s">
        <v>46</v>
      </c>
      <c r="H90" s="51" t="str">
        <f>IF(E90="","",IF(E90&gt;=MROUND(16*D90/20,1),"A",IF(E90&gt;=MROUND(12*D90/20,1),"B",IF(E90&gt;=MROUND(8*D90/20,1),"C","D"))))</f>
        <v/>
      </c>
    </row>
    <row r="91" spans="1:8" ht="15" thickBot="1" x14ac:dyDescent="0.35">
      <c r="C91" s="12"/>
      <c r="D91" s="28"/>
      <c r="E91" s="27"/>
      <c r="F91" s="13"/>
      <c r="G91" s="26"/>
    </row>
    <row r="92" spans="1:8" ht="15" thickBot="1" x14ac:dyDescent="0.35">
      <c r="A92" s="31" t="s">
        <v>11</v>
      </c>
      <c r="B92" s="75" t="str">
        <f>IF($B$15="","",$B$15)</f>
        <v/>
      </c>
      <c r="C92" s="75"/>
      <c r="D92" s="76"/>
    </row>
    <row r="93" spans="1:8" ht="21" thickBot="1" x14ac:dyDescent="0.35">
      <c r="A93" s="1" t="s">
        <v>27</v>
      </c>
      <c r="B93" s="68" t="s">
        <v>28</v>
      </c>
      <c r="C93" s="69"/>
      <c r="D93" s="30" t="s">
        <v>29</v>
      </c>
      <c r="E93" s="30" t="s">
        <v>30</v>
      </c>
      <c r="F93" s="77" t="s">
        <v>31</v>
      </c>
      <c r="G93" s="77"/>
      <c r="H93" s="78"/>
    </row>
    <row r="94" spans="1:8" ht="19.95" customHeight="1" x14ac:dyDescent="0.3">
      <c r="A94" s="65" t="s">
        <v>39</v>
      </c>
      <c r="B94" s="84" t="s">
        <v>40</v>
      </c>
      <c r="C94" s="85"/>
      <c r="D94" s="9">
        <v>2</v>
      </c>
      <c r="E94" s="9"/>
      <c r="F94" s="86"/>
      <c r="G94" s="86"/>
      <c r="H94" s="87"/>
    </row>
    <row r="95" spans="1:8" ht="19.95" customHeight="1" x14ac:dyDescent="0.3">
      <c r="A95" s="66"/>
      <c r="B95" s="79" t="s">
        <v>41</v>
      </c>
      <c r="C95" s="80"/>
      <c r="D95" s="10">
        <v>3</v>
      </c>
      <c r="E95" s="10"/>
      <c r="F95" s="81"/>
      <c r="G95" s="82"/>
      <c r="H95" s="83"/>
    </row>
    <row r="96" spans="1:8" ht="19.95" customHeight="1" x14ac:dyDescent="0.3">
      <c r="A96" s="67"/>
      <c r="B96" s="79" t="s">
        <v>42</v>
      </c>
      <c r="C96" s="80"/>
      <c r="D96" s="10">
        <v>4</v>
      </c>
      <c r="E96" s="10"/>
      <c r="F96" s="81"/>
      <c r="G96" s="82"/>
      <c r="H96" s="83"/>
    </row>
    <row r="97" spans="1:8" ht="19.95" customHeight="1" x14ac:dyDescent="0.3">
      <c r="A97" s="63" t="s">
        <v>43</v>
      </c>
      <c r="B97" s="79" t="s">
        <v>44</v>
      </c>
      <c r="C97" s="80"/>
      <c r="D97" s="10">
        <v>2</v>
      </c>
      <c r="E97" s="10"/>
      <c r="F97" s="81"/>
      <c r="G97" s="82"/>
      <c r="H97" s="83"/>
    </row>
    <row r="98" spans="1:8" ht="29.4" customHeight="1" thickBot="1" x14ac:dyDescent="0.35">
      <c r="A98" s="64"/>
      <c r="B98" s="70" t="s">
        <v>45</v>
      </c>
      <c r="C98" s="71"/>
      <c r="D98" s="11">
        <v>1</v>
      </c>
      <c r="E98" s="11"/>
      <c r="F98" s="72"/>
      <c r="G98" s="73"/>
      <c r="H98" s="74"/>
    </row>
    <row r="99" spans="1:8" ht="15" thickBot="1" x14ac:dyDescent="0.35">
      <c r="C99" s="12" t="s">
        <v>35</v>
      </c>
      <c r="D99" s="15">
        <f>IF(COUNTA(D94:D98)=0,"",SUM(D94:D98))</f>
        <v>12</v>
      </c>
      <c r="E99" s="14" t="str">
        <f>IF(COUNTA(E94:E98)=0,"",SUM(E94:E98))</f>
        <v/>
      </c>
      <c r="F99" s="13"/>
      <c r="G99" s="29" t="s">
        <v>46</v>
      </c>
      <c r="H99" s="51" t="str">
        <f>IF(E99="","",IF(E99&gt;=MROUND(16*D99/20,1),"A",IF(E99&gt;=MROUND(12*D99/20,1),"B",IF(E99&gt;=MROUND(8*D99/20,1),"C","D"))))</f>
        <v/>
      </c>
    </row>
    <row r="100" spans="1:8" ht="15" thickBot="1" x14ac:dyDescent="0.35">
      <c r="C100" s="12"/>
      <c r="D100" s="28"/>
      <c r="E100" s="27"/>
      <c r="F100" s="13"/>
      <c r="G100" s="26"/>
    </row>
    <row r="101" spans="1:8" ht="15" thickBot="1" x14ac:dyDescent="0.35">
      <c r="A101" s="31" t="s">
        <v>12</v>
      </c>
      <c r="B101" s="75" t="str">
        <f>IF($B$16="","",$B$16)</f>
        <v/>
      </c>
      <c r="C101" s="75"/>
      <c r="D101" s="76"/>
    </row>
    <row r="102" spans="1:8" ht="21" thickBot="1" x14ac:dyDescent="0.35">
      <c r="A102" s="1" t="s">
        <v>27</v>
      </c>
      <c r="B102" s="68" t="s">
        <v>28</v>
      </c>
      <c r="C102" s="69"/>
      <c r="D102" s="30" t="s">
        <v>29</v>
      </c>
      <c r="E102" s="30" t="s">
        <v>30</v>
      </c>
      <c r="F102" s="77" t="s">
        <v>31</v>
      </c>
      <c r="G102" s="77"/>
      <c r="H102" s="78"/>
    </row>
    <row r="103" spans="1:8" ht="19.95" customHeight="1" x14ac:dyDescent="0.3">
      <c r="A103" s="65" t="s">
        <v>39</v>
      </c>
      <c r="B103" s="84" t="s">
        <v>40</v>
      </c>
      <c r="C103" s="85"/>
      <c r="D103" s="9">
        <v>2</v>
      </c>
      <c r="E103" s="9"/>
      <c r="F103" s="86"/>
      <c r="G103" s="86"/>
      <c r="H103" s="87"/>
    </row>
    <row r="104" spans="1:8" ht="19.95" customHeight="1" x14ac:dyDescent="0.3">
      <c r="A104" s="66"/>
      <c r="B104" s="79" t="s">
        <v>41</v>
      </c>
      <c r="C104" s="80"/>
      <c r="D104" s="10">
        <v>3</v>
      </c>
      <c r="E104" s="10"/>
      <c r="F104" s="81"/>
      <c r="G104" s="82"/>
      <c r="H104" s="83"/>
    </row>
    <row r="105" spans="1:8" ht="19.95" customHeight="1" x14ac:dyDescent="0.3">
      <c r="A105" s="67"/>
      <c r="B105" s="79" t="s">
        <v>42</v>
      </c>
      <c r="C105" s="80"/>
      <c r="D105" s="10">
        <v>4</v>
      </c>
      <c r="E105" s="10"/>
      <c r="F105" s="81"/>
      <c r="G105" s="82"/>
      <c r="H105" s="83"/>
    </row>
    <row r="106" spans="1:8" ht="19.95" customHeight="1" x14ac:dyDescent="0.3">
      <c r="A106" s="63" t="s">
        <v>43</v>
      </c>
      <c r="B106" s="79" t="s">
        <v>44</v>
      </c>
      <c r="C106" s="80"/>
      <c r="D106" s="10">
        <v>2</v>
      </c>
      <c r="E106" s="10"/>
      <c r="F106" s="81"/>
      <c r="G106" s="82"/>
      <c r="H106" s="83"/>
    </row>
    <row r="107" spans="1:8" ht="28.8" customHeight="1" thickBot="1" x14ac:dyDescent="0.35">
      <c r="A107" s="64"/>
      <c r="B107" s="70" t="s">
        <v>45</v>
      </c>
      <c r="C107" s="71"/>
      <c r="D107" s="11">
        <v>1</v>
      </c>
      <c r="E107" s="11"/>
      <c r="F107" s="72"/>
      <c r="G107" s="73"/>
      <c r="H107" s="74"/>
    </row>
    <row r="108" spans="1:8" ht="15" thickBot="1" x14ac:dyDescent="0.35">
      <c r="C108" s="12" t="s">
        <v>35</v>
      </c>
      <c r="D108" s="15">
        <f>IF(COUNTA(D103:D107)=0,"",SUM(D103:D107))</f>
        <v>12</v>
      </c>
      <c r="E108" s="14" t="str">
        <f>IF(COUNTA(E103:E107)=0,"",SUM(E103:E107))</f>
        <v/>
      </c>
      <c r="F108" s="13"/>
      <c r="G108" s="29" t="s">
        <v>46</v>
      </c>
      <c r="H108" s="51" t="str">
        <f>IF(E108="","",IF(E108&gt;=MROUND(16*D108/20,1),"A",IF(E108&gt;=MROUND(12*D108/20,1),"B",IF(E108&gt;=MROUND(8*D108/20,1),"C","D"))))</f>
        <v/>
      </c>
    </row>
    <row r="109" spans="1:8" x14ac:dyDescent="0.3">
      <c r="C109" s="12"/>
      <c r="D109" s="28"/>
      <c r="E109" s="27"/>
      <c r="F109" s="13"/>
      <c r="G109" s="26"/>
    </row>
    <row r="110" spans="1:8" ht="15" thickBot="1" x14ac:dyDescent="0.35"/>
    <row r="111" spans="1:8" ht="29.4" thickBot="1" x14ac:dyDescent="0.35">
      <c r="A111" s="94" t="s">
        <v>37</v>
      </c>
      <c r="B111" s="69"/>
      <c r="C111" s="2" t="str">
        <f>"De "&amp;MROUND(15.99*D121/20,1)&amp;" à "&amp; D121 &amp;""&amp; CHAR(10) &amp; " =  A"</f>
        <v>De 10 à 12
 =  A</v>
      </c>
      <c r="D111" s="77" t="str">
        <f>"De "&amp;MROUND(12*D121/20,1)&amp;" à "&amp; MROUND(15.99*D121/20,1)-0.01 &amp;""&amp;CHAR(10)&amp; " =  B"</f>
        <v>De 7 à 9,99
 =  B</v>
      </c>
      <c r="E111" s="77"/>
      <c r="F111" s="77" t="str">
        <f>"De "&amp;MROUND(8*D121/20,1)&amp;" à "&amp; MROUND(12*D121/20,1)-0.01 &amp;""&amp;CHAR(10)&amp; " =  C"</f>
        <v>De 5 à 6,99
 =  C</v>
      </c>
      <c r="G111" s="77"/>
      <c r="H111" s="5" t="str">
        <f>"De "&amp;0&amp;" à "&amp; MROUND(8*D121/20,1)-0.01 &amp;""&amp;CHAR(10)&amp; " =  D"</f>
        <v>De 0 à 4,99
 =  D</v>
      </c>
    </row>
    <row r="113" spans="1:8" ht="15" thickBot="1" x14ac:dyDescent="0.35"/>
    <row r="114" spans="1:8" ht="15" thickBot="1" x14ac:dyDescent="0.35">
      <c r="A114" s="31" t="s">
        <v>13</v>
      </c>
      <c r="B114" s="75" t="str">
        <f>IF($B$17="","",$B$17)</f>
        <v/>
      </c>
      <c r="C114" s="75"/>
      <c r="D114" s="76"/>
    </row>
    <row r="115" spans="1:8" ht="21" thickBot="1" x14ac:dyDescent="0.35">
      <c r="A115" s="1" t="s">
        <v>27</v>
      </c>
      <c r="B115" s="68" t="s">
        <v>28</v>
      </c>
      <c r="C115" s="69"/>
      <c r="D115" s="30" t="s">
        <v>29</v>
      </c>
      <c r="E115" s="30" t="s">
        <v>30</v>
      </c>
      <c r="F115" s="77" t="s">
        <v>31</v>
      </c>
      <c r="G115" s="77"/>
      <c r="H115" s="78"/>
    </row>
    <row r="116" spans="1:8" ht="19.95" customHeight="1" x14ac:dyDescent="0.3">
      <c r="A116" s="65" t="s">
        <v>39</v>
      </c>
      <c r="B116" s="84" t="s">
        <v>40</v>
      </c>
      <c r="C116" s="85"/>
      <c r="D116" s="9">
        <v>2</v>
      </c>
      <c r="E116" s="9"/>
      <c r="F116" s="86"/>
      <c r="G116" s="86"/>
      <c r="H116" s="87"/>
    </row>
    <row r="117" spans="1:8" ht="19.95" customHeight="1" x14ac:dyDescent="0.3">
      <c r="A117" s="66"/>
      <c r="B117" s="79" t="s">
        <v>41</v>
      </c>
      <c r="C117" s="80"/>
      <c r="D117" s="10">
        <v>3</v>
      </c>
      <c r="E117" s="10"/>
      <c r="F117" s="81"/>
      <c r="G117" s="82"/>
      <c r="H117" s="83"/>
    </row>
    <row r="118" spans="1:8" ht="19.95" customHeight="1" x14ac:dyDescent="0.3">
      <c r="A118" s="67"/>
      <c r="B118" s="79" t="s">
        <v>42</v>
      </c>
      <c r="C118" s="80"/>
      <c r="D118" s="10">
        <v>4</v>
      </c>
      <c r="E118" s="10"/>
      <c r="F118" s="81"/>
      <c r="G118" s="82"/>
      <c r="H118" s="83"/>
    </row>
    <row r="119" spans="1:8" ht="19.95" customHeight="1" x14ac:dyDescent="0.3">
      <c r="A119" s="63" t="s">
        <v>43</v>
      </c>
      <c r="B119" s="79" t="s">
        <v>44</v>
      </c>
      <c r="C119" s="80"/>
      <c r="D119" s="10">
        <v>2</v>
      </c>
      <c r="E119" s="10"/>
      <c r="F119" s="81"/>
      <c r="G119" s="82"/>
      <c r="H119" s="83"/>
    </row>
    <row r="120" spans="1:8" ht="28.8" customHeight="1" thickBot="1" x14ac:dyDescent="0.35">
      <c r="A120" s="64"/>
      <c r="B120" s="70" t="s">
        <v>45</v>
      </c>
      <c r="C120" s="71"/>
      <c r="D120" s="11">
        <v>1</v>
      </c>
      <c r="E120" s="11"/>
      <c r="F120" s="72"/>
      <c r="G120" s="73"/>
      <c r="H120" s="74"/>
    </row>
    <row r="121" spans="1:8" ht="15" thickBot="1" x14ac:dyDescent="0.35">
      <c r="C121" s="12" t="s">
        <v>35</v>
      </c>
      <c r="D121" s="15">
        <f>IF(COUNTA(D116:D120)=0,"",SUM(D116:D120))</f>
        <v>12</v>
      </c>
      <c r="E121" s="14" t="str">
        <f>IF(COUNTA(E116:E120)=0,"",SUM(E116:E120))</f>
        <v/>
      </c>
      <c r="F121" s="13"/>
      <c r="G121" s="29" t="s">
        <v>46</v>
      </c>
      <c r="H121" s="51" t="str">
        <f>IF(E121="","",IF(E121&gt;=MROUND(16*D121/20,1),"A",IF(E121&gt;=MROUND(12*D121/20,1),"B",IF(E121&gt;=MROUND(8*D121/20,1),"C","D"))))</f>
        <v/>
      </c>
    </row>
    <row r="122" spans="1:8" ht="15" thickBot="1" x14ac:dyDescent="0.35">
      <c r="C122" s="12"/>
      <c r="D122" s="28"/>
      <c r="E122" s="27"/>
      <c r="F122" s="13"/>
      <c r="G122" s="26"/>
    </row>
    <row r="123" spans="1:8" ht="15" thickBot="1" x14ac:dyDescent="0.35">
      <c r="A123" s="31" t="s">
        <v>14</v>
      </c>
      <c r="B123" s="75" t="str">
        <f>IF($B$18="","",$B$18)</f>
        <v/>
      </c>
      <c r="C123" s="75"/>
      <c r="D123" s="76"/>
    </row>
    <row r="124" spans="1:8" ht="21" thickBot="1" x14ac:dyDescent="0.35">
      <c r="A124" s="1" t="s">
        <v>27</v>
      </c>
      <c r="B124" s="68" t="s">
        <v>28</v>
      </c>
      <c r="C124" s="69"/>
      <c r="D124" s="30" t="s">
        <v>29</v>
      </c>
      <c r="E124" s="30" t="s">
        <v>30</v>
      </c>
      <c r="F124" s="77" t="s">
        <v>31</v>
      </c>
      <c r="G124" s="77"/>
      <c r="H124" s="78"/>
    </row>
    <row r="125" spans="1:8" ht="19.95" customHeight="1" x14ac:dyDescent="0.3">
      <c r="A125" s="65" t="s">
        <v>39</v>
      </c>
      <c r="B125" s="84" t="s">
        <v>40</v>
      </c>
      <c r="C125" s="85"/>
      <c r="D125" s="9">
        <v>2</v>
      </c>
      <c r="E125" s="9"/>
      <c r="F125" s="86"/>
      <c r="G125" s="86"/>
      <c r="H125" s="87"/>
    </row>
    <row r="126" spans="1:8" ht="19.95" customHeight="1" x14ac:dyDescent="0.3">
      <c r="A126" s="66"/>
      <c r="B126" s="79" t="s">
        <v>41</v>
      </c>
      <c r="C126" s="80"/>
      <c r="D126" s="10">
        <v>3</v>
      </c>
      <c r="E126" s="10"/>
      <c r="F126" s="81"/>
      <c r="G126" s="82"/>
      <c r="H126" s="83"/>
    </row>
    <row r="127" spans="1:8" ht="19.95" customHeight="1" x14ac:dyDescent="0.3">
      <c r="A127" s="67"/>
      <c r="B127" s="79" t="s">
        <v>42</v>
      </c>
      <c r="C127" s="80"/>
      <c r="D127" s="10">
        <v>4</v>
      </c>
      <c r="E127" s="10"/>
      <c r="F127" s="81"/>
      <c r="G127" s="82"/>
      <c r="H127" s="83"/>
    </row>
    <row r="128" spans="1:8" ht="19.95" customHeight="1" x14ac:dyDescent="0.3">
      <c r="A128" s="63" t="s">
        <v>43</v>
      </c>
      <c r="B128" s="79" t="s">
        <v>44</v>
      </c>
      <c r="C128" s="80"/>
      <c r="D128" s="10">
        <v>2</v>
      </c>
      <c r="E128" s="10"/>
      <c r="F128" s="81"/>
      <c r="G128" s="82"/>
      <c r="H128" s="83"/>
    </row>
    <row r="129" spans="1:8" ht="24" customHeight="1" thickBot="1" x14ac:dyDescent="0.35">
      <c r="A129" s="64"/>
      <c r="B129" s="70" t="s">
        <v>45</v>
      </c>
      <c r="C129" s="71"/>
      <c r="D129" s="11">
        <v>1</v>
      </c>
      <c r="E129" s="11"/>
      <c r="F129" s="72"/>
      <c r="G129" s="73"/>
      <c r="H129" s="74"/>
    </row>
    <row r="130" spans="1:8" ht="15" thickBot="1" x14ac:dyDescent="0.35">
      <c r="C130" s="12" t="s">
        <v>35</v>
      </c>
      <c r="D130" s="15">
        <f>IF(COUNTA(D125:D129)=0,"",SUM(D125:D129))</f>
        <v>12</v>
      </c>
      <c r="E130" s="14" t="str">
        <f>IF(COUNTA(E125:E129)=0,"",SUM(E125:E129))</f>
        <v/>
      </c>
      <c r="F130" s="13"/>
      <c r="G130" s="29" t="s">
        <v>46</v>
      </c>
      <c r="H130" s="51" t="str">
        <f>IF(E130="","",IF(E130&gt;=MROUND(16*D130/20,1),"A",IF(E130&gt;=MROUND(12*D130/20,1),"B",IF(E130&gt;=MROUND(8*D130/20,1),"C","D"))))</f>
        <v/>
      </c>
    </row>
    <row r="131" spans="1:8" ht="15" thickBot="1" x14ac:dyDescent="0.35">
      <c r="C131" s="12"/>
      <c r="D131" s="28"/>
      <c r="E131" s="27"/>
      <c r="F131" s="13"/>
      <c r="G131" s="26"/>
    </row>
    <row r="132" spans="1:8" ht="15" thickBot="1" x14ac:dyDescent="0.35">
      <c r="A132" s="31" t="s">
        <v>15</v>
      </c>
      <c r="B132" s="75" t="str">
        <f>IF($B$19="","",$B$19)</f>
        <v/>
      </c>
      <c r="C132" s="75"/>
      <c r="D132" s="76"/>
    </row>
    <row r="133" spans="1:8" ht="21" thickBot="1" x14ac:dyDescent="0.35">
      <c r="A133" s="1" t="s">
        <v>27</v>
      </c>
      <c r="B133" s="68" t="s">
        <v>28</v>
      </c>
      <c r="C133" s="69"/>
      <c r="D133" s="30" t="s">
        <v>29</v>
      </c>
      <c r="E133" s="30" t="s">
        <v>30</v>
      </c>
      <c r="F133" s="77" t="s">
        <v>31</v>
      </c>
      <c r="G133" s="77"/>
      <c r="H133" s="78"/>
    </row>
    <row r="134" spans="1:8" ht="19.95" customHeight="1" x14ac:dyDescent="0.3">
      <c r="A134" s="65" t="s">
        <v>39</v>
      </c>
      <c r="B134" s="84" t="s">
        <v>40</v>
      </c>
      <c r="C134" s="85"/>
      <c r="D134" s="9">
        <v>2</v>
      </c>
      <c r="E134" s="9"/>
      <c r="F134" s="86"/>
      <c r="G134" s="86"/>
      <c r="H134" s="87"/>
    </row>
    <row r="135" spans="1:8" ht="19.95" customHeight="1" x14ac:dyDescent="0.3">
      <c r="A135" s="66"/>
      <c r="B135" s="79" t="s">
        <v>41</v>
      </c>
      <c r="C135" s="80"/>
      <c r="D135" s="10">
        <v>3</v>
      </c>
      <c r="E135" s="10"/>
      <c r="F135" s="81"/>
      <c r="G135" s="82"/>
      <c r="H135" s="83"/>
    </row>
    <row r="136" spans="1:8" ht="19.95" customHeight="1" x14ac:dyDescent="0.3">
      <c r="A136" s="67"/>
      <c r="B136" s="79" t="s">
        <v>42</v>
      </c>
      <c r="C136" s="80"/>
      <c r="D136" s="10">
        <v>4</v>
      </c>
      <c r="E136" s="10"/>
      <c r="F136" s="81"/>
      <c r="G136" s="82"/>
      <c r="H136" s="83"/>
    </row>
    <row r="137" spans="1:8" ht="19.95" customHeight="1" x14ac:dyDescent="0.3">
      <c r="A137" s="63" t="s">
        <v>43</v>
      </c>
      <c r="B137" s="79" t="s">
        <v>44</v>
      </c>
      <c r="C137" s="80"/>
      <c r="D137" s="10">
        <v>2</v>
      </c>
      <c r="E137" s="10"/>
      <c r="F137" s="81"/>
      <c r="G137" s="82"/>
      <c r="H137" s="83"/>
    </row>
    <row r="138" spans="1:8" ht="19.8" customHeight="1" thickBot="1" x14ac:dyDescent="0.35">
      <c r="A138" s="64"/>
      <c r="B138" s="70" t="s">
        <v>45</v>
      </c>
      <c r="C138" s="71"/>
      <c r="D138" s="11">
        <v>1</v>
      </c>
      <c r="E138" s="11"/>
      <c r="F138" s="72"/>
      <c r="G138" s="73"/>
      <c r="H138" s="74"/>
    </row>
    <row r="139" spans="1:8" ht="15" thickBot="1" x14ac:dyDescent="0.35">
      <c r="C139" s="12" t="s">
        <v>35</v>
      </c>
      <c r="D139" s="15">
        <f>IF(COUNTA(D134:D138)=0,"",SUM(D134:D138))</f>
        <v>12</v>
      </c>
      <c r="E139" s="14" t="str">
        <f>IF(COUNTA(E134:E138)=0,"",SUM(E134:E138))</f>
        <v/>
      </c>
      <c r="F139" s="13"/>
      <c r="G139" s="29" t="s">
        <v>46</v>
      </c>
      <c r="H139" s="51" t="str">
        <f>IF(E139="","",IF(E139&gt;=MROUND(16*D139/20,1),"A",IF(E139&gt;=MROUND(12*D139/20,1),"B",IF(E139&gt;=MROUND(8*D139/20,1),"C","D"))))</f>
        <v/>
      </c>
    </row>
    <row r="140" spans="1:8" x14ac:dyDescent="0.3">
      <c r="C140" s="12"/>
      <c r="D140" s="28"/>
      <c r="E140" s="27"/>
      <c r="F140" s="13"/>
      <c r="G140" s="26"/>
    </row>
    <row r="141" spans="1:8" x14ac:dyDescent="0.3">
      <c r="C141" s="12"/>
      <c r="D141" s="28"/>
      <c r="E141" s="27"/>
      <c r="F141" s="13"/>
      <c r="G141" s="26"/>
    </row>
    <row r="142" spans="1:8" x14ac:dyDescent="0.3">
      <c r="C142" s="12"/>
      <c r="D142" s="28"/>
      <c r="E142" s="27"/>
      <c r="F142" s="13"/>
      <c r="G142" s="26"/>
    </row>
    <row r="143" spans="1:8" x14ac:dyDescent="0.3">
      <c r="C143" s="12"/>
      <c r="D143" s="28"/>
      <c r="E143" s="27"/>
      <c r="F143" s="13"/>
      <c r="G143" s="26"/>
    </row>
  </sheetData>
  <mergeCells count="150">
    <mergeCell ref="B48:C48"/>
    <mergeCell ref="B49:C49"/>
    <mergeCell ref="B50:C50"/>
    <mergeCell ref="A45:A50"/>
    <mergeCell ref="B54:C54"/>
    <mergeCell ref="B55:C55"/>
    <mergeCell ref="B56:C56"/>
    <mergeCell ref="B26:D26"/>
    <mergeCell ref="A56:A57"/>
    <mergeCell ref="A51:A52"/>
    <mergeCell ref="B44:C44"/>
    <mergeCell ref="B45:C45"/>
    <mergeCell ref="C4:G4"/>
    <mergeCell ref="C6:G6"/>
    <mergeCell ref="F51:H51"/>
    <mergeCell ref="F52:H52"/>
    <mergeCell ref="B14:D14"/>
    <mergeCell ref="B15:D15"/>
    <mergeCell ref="B16:D16"/>
    <mergeCell ref="B17:D17"/>
    <mergeCell ref="E26:G26"/>
    <mergeCell ref="E27:G27"/>
    <mergeCell ref="E28:G28"/>
    <mergeCell ref="E29:G29"/>
    <mergeCell ref="A32:H37"/>
    <mergeCell ref="E11:F11"/>
    <mergeCell ref="A4:B4"/>
    <mergeCell ref="A6:B6"/>
    <mergeCell ref="F84:H84"/>
    <mergeCell ref="B83:D83"/>
    <mergeCell ref="A78:H78"/>
    <mergeCell ref="D60:E60"/>
    <mergeCell ref="F60:G60"/>
    <mergeCell ref="B85:C85"/>
    <mergeCell ref="F85:H85"/>
    <mergeCell ref="B93:C93"/>
    <mergeCell ref="F93:H93"/>
    <mergeCell ref="B86:C86"/>
    <mergeCell ref="A60:B60"/>
    <mergeCell ref="A88:A89"/>
    <mergeCell ref="A85:A87"/>
    <mergeCell ref="F97:H97"/>
    <mergeCell ref="B98:C98"/>
    <mergeCell ref="F98:H98"/>
    <mergeCell ref="B101:D101"/>
    <mergeCell ref="B102:C102"/>
    <mergeCell ref="F102:H102"/>
    <mergeCell ref="B103:C103"/>
    <mergeCell ref="F103:H103"/>
    <mergeCell ref="F86:H86"/>
    <mergeCell ref="B87:C87"/>
    <mergeCell ref="F87:H87"/>
    <mergeCell ref="B88:C88"/>
    <mergeCell ref="F88:H88"/>
    <mergeCell ref="B18:D18"/>
    <mergeCell ref="B19:D19"/>
    <mergeCell ref="B13:D13"/>
    <mergeCell ref="B9:C9"/>
    <mergeCell ref="B89:C89"/>
    <mergeCell ref="F89:H89"/>
    <mergeCell ref="A80:B80"/>
    <mergeCell ref="D80:E80"/>
    <mergeCell ref="F80:G80"/>
    <mergeCell ref="B46:C46"/>
    <mergeCell ref="B47:C47"/>
    <mergeCell ref="B51:C51"/>
    <mergeCell ref="B52:C52"/>
    <mergeCell ref="B57:C57"/>
    <mergeCell ref="B53:C53"/>
    <mergeCell ref="F9:G9"/>
    <mergeCell ref="F46:H46"/>
    <mergeCell ref="F48:H48"/>
    <mergeCell ref="F53:H53"/>
    <mergeCell ref="A53:A55"/>
    <mergeCell ref="F57:H57"/>
    <mergeCell ref="F44:H44"/>
    <mergeCell ref="F45:H45"/>
    <mergeCell ref="B84:C84"/>
    <mergeCell ref="B27:D27"/>
    <mergeCell ref="B28:D28"/>
    <mergeCell ref="B29:D29"/>
    <mergeCell ref="A111:B111"/>
    <mergeCell ref="D111:E111"/>
    <mergeCell ref="F111:G111"/>
    <mergeCell ref="B114:D114"/>
    <mergeCell ref="B107:C107"/>
    <mergeCell ref="F107:H107"/>
    <mergeCell ref="B104:C104"/>
    <mergeCell ref="F104:H104"/>
    <mergeCell ref="B105:C105"/>
    <mergeCell ref="F105:H105"/>
    <mergeCell ref="B106:C106"/>
    <mergeCell ref="F106:H106"/>
    <mergeCell ref="A42:H42"/>
    <mergeCell ref="B92:D92"/>
    <mergeCell ref="B94:C94"/>
    <mergeCell ref="F94:H94"/>
    <mergeCell ref="B95:C95"/>
    <mergeCell ref="F95:H95"/>
    <mergeCell ref="B96:C96"/>
    <mergeCell ref="F96:H96"/>
    <mergeCell ref="B97:C97"/>
    <mergeCell ref="B136:C136"/>
    <mergeCell ref="F136:H136"/>
    <mergeCell ref="B137:C137"/>
    <mergeCell ref="F137:H137"/>
    <mergeCell ref="B138:C138"/>
    <mergeCell ref="F138:H138"/>
    <mergeCell ref="B133:C133"/>
    <mergeCell ref="F133:H133"/>
    <mergeCell ref="B134:C134"/>
    <mergeCell ref="F134:H134"/>
    <mergeCell ref="B135:C135"/>
    <mergeCell ref="F135:H135"/>
    <mergeCell ref="B128:C128"/>
    <mergeCell ref="F128:H128"/>
    <mergeCell ref="B129:C129"/>
    <mergeCell ref="F129:H129"/>
    <mergeCell ref="B132:D132"/>
    <mergeCell ref="B125:C125"/>
    <mergeCell ref="F125:H125"/>
    <mergeCell ref="B126:C126"/>
    <mergeCell ref="F126:H126"/>
    <mergeCell ref="B127:C127"/>
    <mergeCell ref="F127:H127"/>
    <mergeCell ref="B115:C115"/>
    <mergeCell ref="B120:C120"/>
    <mergeCell ref="F120:H120"/>
    <mergeCell ref="B123:D123"/>
    <mergeCell ref="B124:C124"/>
    <mergeCell ref="F124:H124"/>
    <mergeCell ref="B117:C117"/>
    <mergeCell ref="F117:H117"/>
    <mergeCell ref="B118:C118"/>
    <mergeCell ref="F118:H118"/>
    <mergeCell ref="B119:C119"/>
    <mergeCell ref="F119:H119"/>
    <mergeCell ref="F115:H115"/>
    <mergeCell ref="B116:C116"/>
    <mergeCell ref="F116:H116"/>
    <mergeCell ref="A137:A138"/>
    <mergeCell ref="A94:A96"/>
    <mergeCell ref="A97:A98"/>
    <mergeCell ref="A103:A105"/>
    <mergeCell ref="A106:A107"/>
    <mergeCell ref="A116:A118"/>
    <mergeCell ref="A119:A120"/>
    <mergeCell ref="A125:A127"/>
    <mergeCell ref="A128:A129"/>
    <mergeCell ref="A134:A136"/>
  </mergeCells>
  <pageMargins left="0.39370078740157483" right="0.39370078740157483" top="0.74803149606299213" bottom="0.74803149606299213" header="0.31496062992125984" footer="0.31496062992125984"/>
  <pageSetup paperSize="9" orientation="portrait" r:id="rId1"/>
  <headerFooter>
    <oddHeader>&amp;L&amp;G&amp;R&amp;"-,Gras"&amp;14
Grille d'évaluation
&amp;12Projet collaboratif</oddHeader>
    <oddFooter>&amp;L&amp;F&amp;R&amp;P/&amp;N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f7b856-3a9e-47ab-b52e-d8a36fea2622">
      <Terms xmlns="http://schemas.microsoft.com/office/infopath/2007/PartnerControls"/>
    </lcf76f155ced4ddcb4097134ff3c332f>
    <TaxCatchAll xmlns="ea418fef-c7a7-479f-8a34-f0cdebb3a91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5DD0C4F3DA1E4CAB4339F0B138BB53" ma:contentTypeVersion="12" ma:contentTypeDescription="Crée un document." ma:contentTypeScope="" ma:versionID="70ee7f8a02aa0f61552346a9f09967b3">
  <xsd:schema xmlns:xsd="http://www.w3.org/2001/XMLSchema" xmlns:xs="http://www.w3.org/2001/XMLSchema" xmlns:p="http://schemas.microsoft.com/office/2006/metadata/properties" xmlns:ns2="15f7b856-3a9e-47ab-b52e-d8a36fea2622" xmlns:ns3="ea418fef-c7a7-479f-8a34-f0cdebb3a91a" targetNamespace="http://schemas.microsoft.com/office/2006/metadata/properties" ma:root="true" ma:fieldsID="751a2787fd60f0f76ed5dbd6dc305875" ns2:_="" ns3:_="">
    <xsd:import namespace="15f7b856-3a9e-47ab-b52e-d8a36fea2622"/>
    <xsd:import namespace="ea418fef-c7a7-479f-8a34-f0cdebb3a9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f7b856-3a9e-47ab-b52e-d8a36fea26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aa141cfe-7933-482d-bbb8-97c86f16e5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418fef-c7a7-479f-8a34-f0cdebb3a91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356915d7-a6a5-43f0-a297-4a96acdb05de}" ma:internalName="TaxCatchAll" ma:showField="CatchAllData" ma:web="ea418fef-c7a7-479f-8a34-f0cdebb3a9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AE9EAEB-4E9A-4356-83DA-67A45E66116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7C25D31-951E-4E56-8778-7B0A6CBA3CA7}">
  <ds:schemaRefs>
    <ds:schemaRef ds:uri="http://schemas.microsoft.com/office/2006/metadata/properties"/>
    <ds:schemaRef ds:uri="http://schemas.microsoft.com/office/infopath/2007/PartnerControls"/>
    <ds:schemaRef ds:uri="15f7b856-3a9e-47ab-b52e-d8a36fea2622"/>
    <ds:schemaRef ds:uri="ea418fef-c7a7-479f-8a34-f0cdebb3a91a"/>
  </ds:schemaRefs>
</ds:datastoreItem>
</file>

<file path=customXml/itemProps3.xml><?xml version="1.0" encoding="utf-8"?>
<ds:datastoreItem xmlns:ds="http://schemas.openxmlformats.org/officeDocument/2006/customXml" ds:itemID="{322D412A-32FB-4C0B-B456-B53BE81B68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f7b856-3a9e-47ab-b52e-d8a36fea2622"/>
    <ds:schemaRef ds:uri="ea418fef-c7a7-479f-8a34-f0cdebb3a9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Grille à points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FACON Cédric</dc:creator>
  <cp:keywords/>
  <dc:description/>
  <cp:lastModifiedBy>SBRIGLIO Alexandre</cp:lastModifiedBy>
  <cp:revision/>
  <dcterms:created xsi:type="dcterms:W3CDTF">2020-02-01T09:20:16Z</dcterms:created>
  <dcterms:modified xsi:type="dcterms:W3CDTF">2025-07-11T10:51:55Z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0x010100045DD0C4F3DA1E4CAB4339F0B138BB53</vt:lpwstr>
  </property>
  <property fmtid="{D5CDD505-2E9C-101B-9397-08002B2CF9AE}" pid="3" name="Order">
    <vt:r8>77800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MediaServiceImageTags">
    <vt:lpwstr/>
  </property>
</Properties>
</file>